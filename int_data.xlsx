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orantes/PythonP/ua_alframework_pump/"/>
    </mc:Choice>
  </mc:AlternateContent>
  <xr:revisionPtr revIDLastSave="0" documentId="13_ncr:1_{4863C823-9960-6546-85B7-4073BFD8353A}" xr6:coauthVersionLast="47" xr6:coauthVersionMax="47" xr10:uidLastSave="{00000000-0000-0000-0000-000000000000}"/>
  <bookViews>
    <workbookView xWindow="3480" yWindow="2560" windowWidth="27640" windowHeight="16940" xr2:uid="{174EF83A-79B3-FA4F-AF50-77F0E2B2A1D3}"/>
  </bookViews>
  <sheets>
    <sheet name="1st_CFD_Results_Filtred_InTrain" sheetId="1" r:id="rId1"/>
    <sheet name="Ground_Truth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" l="1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H18" i="2" a="1"/>
  <c r="H18" i="2" s="1"/>
  <c r="G18" i="2" a="1"/>
  <c r="G18" i="2" s="1"/>
  <c r="F18" i="2"/>
  <c r="F17" i="2"/>
  <c r="F16" i="2"/>
  <c r="F15" i="2"/>
  <c r="F14" i="2"/>
  <c r="H13" i="2" a="1"/>
  <c r="H13" i="2" s="1"/>
  <c r="G13" i="2" a="1"/>
  <c r="G13" i="2" s="1"/>
  <c r="F13" i="2"/>
  <c r="F12" i="2"/>
  <c r="F11" i="2"/>
  <c r="F10" i="2"/>
  <c r="F9" i="2"/>
  <c r="H8" i="2" a="1"/>
  <c r="H8" i="2" s="1"/>
  <c r="G8" i="2" a="1"/>
  <c r="G8" i="2" s="1"/>
  <c r="F8" i="2"/>
  <c r="F7" i="2"/>
  <c r="F6" i="2"/>
  <c r="F5" i="2"/>
  <c r="F4" i="2"/>
  <c r="F3" i="2"/>
  <c r="H2" i="2" a="1"/>
  <c r="H2" i="2" s="1"/>
  <c r="G2" i="2" a="1"/>
  <c r="G2" i="2" s="1"/>
  <c r="F2" i="2"/>
  <c r="G151" i="1"/>
  <c r="M151" i="1" s="1"/>
  <c r="G150" i="1"/>
  <c r="M150" i="1" s="1"/>
  <c r="G149" i="1"/>
  <c r="M149" i="1" s="1"/>
  <c r="G148" i="1"/>
  <c r="M148" i="1" s="1"/>
  <c r="G147" i="1"/>
  <c r="M147" i="1" s="1"/>
  <c r="G146" i="1"/>
  <c r="M146" i="1" s="1"/>
  <c r="G145" i="1"/>
  <c r="M145" i="1" s="1"/>
  <c r="G144" i="1"/>
  <c r="M144" i="1" s="1"/>
  <c r="M143" i="1"/>
  <c r="G143" i="1"/>
  <c r="H143" i="1" s="1"/>
  <c r="G142" i="1"/>
  <c r="M142" i="1" s="1"/>
  <c r="G141" i="1"/>
  <c r="M140" i="1"/>
  <c r="G140" i="1"/>
  <c r="H140" i="1" s="1"/>
  <c r="G139" i="1"/>
  <c r="M139" i="1" s="1"/>
  <c r="G138" i="1"/>
  <c r="M138" i="1" s="1"/>
  <c r="G137" i="1"/>
  <c r="M137" i="1" s="1"/>
  <c r="G136" i="1"/>
  <c r="M136" i="1" s="1"/>
  <c r="G135" i="1"/>
  <c r="H135" i="1" s="1"/>
  <c r="H134" i="1"/>
  <c r="G134" i="1"/>
  <c r="M134" i="1" s="1"/>
  <c r="G133" i="1"/>
  <c r="G132" i="1"/>
  <c r="H132" i="1" s="1"/>
  <c r="G131" i="1"/>
  <c r="M131" i="1" s="1"/>
  <c r="G130" i="1"/>
  <c r="M130" i="1" s="1"/>
  <c r="G129" i="1"/>
  <c r="M129" i="1" s="1"/>
  <c r="G128" i="1"/>
  <c r="M128" i="1" s="1"/>
  <c r="M127" i="1"/>
  <c r="G127" i="1"/>
  <c r="H127" i="1" s="1"/>
  <c r="G126" i="1"/>
  <c r="M126" i="1" s="1"/>
  <c r="G125" i="1"/>
  <c r="M124" i="1"/>
  <c r="G124" i="1"/>
  <c r="H124" i="1" s="1"/>
  <c r="G123" i="1"/>
  <c r="M123" i="1" s="1"/>
  <c r="G122" i="1"/>
  <c r="M122" i="1" s="1"/>
  <c r="G121" i="1"/>
  <c r="M121" i="1" s="1"/>
  <c r="G120" i="1"/>
  <c r="M120" i="1" s="1"/>
  <c r="H119" i="1"/>
  <c r="G119" i="1"/>
  <c r="M119" i="1" s="1"/>
  <c r="G118" i="1"/>
  <c r="M118" i="1" s="1"/>
  <c r="G117" i="1"/>
  <c r="G116" i="1"/>
  <c r="H116" i="1" s="1"/>
  <c r="G115" i="1"/>
  <c r="M115" i="1" s="1"/>
  <c r="G114" i="1"/>
  <c r="M114" i="1" s="1"/>
  <c r="G113" i="1"/>
  <c r="M113" i="1" s="1"/>
  <c r="G112" i="1"/>
  <c r="M112" i="1" s="1"/>
  <c r="M111" i="1"/>
  <c r="G111" i="1"/>
  <c r="H111" i="1" s="1"/>
  <c r="G110" i="1"/>
  <c r="M110" i="1" s="1"/>
  <c r="G109" i="1"/>
  <c r="E109" i="1"/>
  <c r="C109" i="1"/>
  <c r="H108" i="1"/>
  <c r="G108" i="1"/>
  <c r="M108" i="1" s="1"/>
  <c r="E108" i="1"/>
  <c r="C108" i="1"/>
  <c r="H107" i="1"/>
  <c r="G107" i="1"/>
  <c r="M107" i="1" s="1"/>
  <c r="E107" i="1"/>
  <c r="C107" i="1"/>
  <c r="G106" i="1"/>
  <c r="M106" i="1" s="1"/>
  <c r="E106" i="1"/>
  <c r="C106" i="1"/>
  <c r="G105" i="1"/>
  <c r="M105" i="1" s="1"/>
  <c r="E105" i="1"/>
  <c r="C105" i="1"/>
  <c r="G104" i="1"/>
  <c r="M104" i="1" s="1"/>
  <c r="E104" i="1"/>
  <c r="C104" i="1"/>
  <c r="G103" i="1"/>
  <c r="M103" i="1" s="1"/>
  <c r="E103" i="1"/>
  <c r="C103" i="1"/>
  <c r="M102" i="1"/>
  <c r="G102" i="1"/>
  <c r="H102" i="1" s="1"/>
  <c r="E102" i="1"/>
  <c r="C102" i="1"/>
  <c r="G101" i="1"/>
  <c r="E101" i="1"/>
  <c r="C101" i="1"/>
  <c r="G100" i="1"/>
  <c r="M100" i="1" s="1"/>
  <c r="E100" i="1"/>
  <c r="C100" i="1"/>
  <c r="M99" i="1"/>
  <c r="G99" i="1"/>
  <c r="H99" i="1" s="1"/>
  <c r="E99" i="1"/>
  <c r="C99" i="1"/>
  <c r="G98" i="1"/>
  <c r="M98" i="1" s="1"/>
  <c r="E98" i="1"/>
  <c r="C98" i="1"/>
  <c r="G97" i="1"/>
  <c r="M97" i="1" s="1"/>
  <c r="E97" i="1"/>
  <c r="C97" i="1"/>
  <c r="G96" i="1"/>
  <c r="M96" i="1" s="1"/>
  <c r="E96" i="1"/>
  <c r="C96" i="1"/>
  <c r="G95" i="1"/>
  <c r="M95" i="1" s="1"/>
  <c r="E95" i="1"/>
  <c r="C95" i="1"/>
  <c r="G94" i="1"/>
  <c r="H94" i="1" s="1"/>
  <c r="E94" i="1"/>
  <c r="C94" i="1"/>
  <c r="G93" i="1"/>
  <c r="E93" i="1"/>
  <c r="C93" i="1"/>
  <c r="H92" i="1"/>
  <c r="G92" i="1"/>
  <c r="M92" i="1" s="1"/>
  <c r="E92" i="1"/>
  <c r="C92" i="1"/>
  <c r="H91" i="1"/>
  <c r="G91" i="1"/>
  <c r="M91" i="1" s="1"/>
  <c r="E91" i="1"/>
  <c r="C91" i="1"/>
  <c r="G90" i="1"/>
  <c r="M90" i="1" s="1"/>
  <c r="E90" i="1"/>
  <c r="C90" i="1"/>
  <c r="G89" i="1"/>
  <c r="M89" i="1" s="1"/>
  <c r="E89" i="1"/>
  <c r="C89" i="1"/>
  <c r="G88" i="1"/>
  <c r="M88" i="1" s="1"/>
  <c r="E88" i="1"/>
  <c r="C88" i="1"/>
  <c r="G87" i="1"/>
  <c r="M87" i="1" s="1"/>
  <c r="E87" i="1"/>
  <c r="C87" i="1"/>
  <c r="M86" i="1"/>
  <c r="G86" i="1"/>
  <c r="H86" i="1" s="1"/>
  <c r="E86" i="1"/>
  <c r="C86" i="1"/>
  <c r="G85" i="1"/>
  <c r="E85" i="1"/>
  <c r="C85" i="1"/>
  <c r="H84" i="1"/>
  <c r="G84" i="1"/>
  <c r="M84" i="1" s="1"/>
  <c r="E84" i="1"/>
  <c r="C84" i="1"/>
  <c r="G83" i="1"/>
  <c r="M83" i="1" s="1"/>
  <c r="E83" i="1"/>
  <c r="C83" i="1"/>
  <c r="G82" i="1"/>
  <c r="M82" i="1" s="1"/>
  <c r="E82" i="1"/>
  <c r="C82" i="1"/>
  <c r="G81" i="1"/>
  <c r="M81" i="1" s="1"/>
  <c r="E81" i="1"/>
  <c r="C81" i="1"/>
  <c r="G80" i="1"/>
  <c r="M80" i="1" s="1"/>
  <c r="E80" i="1"/>
  <c r="C80" i="1"/>
  <c r="G79" i="1"/>
  <c r="M79" i="1" s="1"/>
  <c r="E79" i="1"/>
  <c r="C79" i="1"/>
  <c r="G78" i="1"/>
  <c r="H78" i="1" s="1"/>
  <c r="E78" i="1"/>
  <c r="C78" i="1"/>
  <c r="G77" i="1"/>
  <c r="E77" i="1"/>
  <c r="C77" i="1"/>
  <c r="G76" i="1"/>
  <c r="M76" i="1" s="1"/>
  <c r="E76" i="1"/>
  <c r="C76" i="1"/>
  <c r="M75" i="1"/>
  <c r="H75" i="1"/>
  <c r="G75" i="1"/>
  <c r="E75" i="1"/>
  <c r="C75" i="1"/>
  <c r="G74" i="1"/>
  <c r="M74" i="1" s="1"/>
  <c r="E74" i="1"/>
  <c r="C74" i="1"/>
  <c r="G73" i="1"/>
  <c r="M73" i="1" s="1"/>
  <c r="E73" i="1"/>
  <c r="C73" i="1"/>
  <c r="G72" i="1"/>
  <c r="M72" i="1" s="1"/>
  <c r="E72" i="1"/>
  <c r="C72" i="1"/>
  <c r="G71" i="1"/>
  <c r="M71" i="1" s="1"/>
  <c r="E71" i="1"/>
  <c r="C71" i="1"/>
  <c r="M70" i="1"/>
  <c r="G70" i="1"/>
  <c r="H70" i="1" s="1"/>
  <c r="E70" i="1"/>
  <c r="C70" i="1"/>
  <c r="F69" i="1"/>
  <c r="G69" i="1" s="1"/>
  <c r="E69" i="1"/>
  <c r="C69" i="1"/>
  <c r="G68" i="1"/>
  <c r="M68" i="1" s="1"/>
  <c r="E68" i="1"/>
  <c r="C68" i="1"/>
  <c r="F67" i="1"/>
  <c r="G67" i="1" s="1"/>
  <c r="H67" i="1" s="1"/>
  <c r="E67" i="1"/>
  <c r="C67" i="1"/>
  <c r="G66" i="1"/>
  <c r="M66" i="1" s="1"/>
  <c r="E66" i="1"/>
  <c r="C66" i="1"/>
  <c r="F65" i="1"/>
  <c r="G65" i="1" s="1"/>
  <c r="E65" i="1"/>
  <c r="C65" i="1"/>
  <c r="F64" i="1"/>
  <c r="G64" i="1" s="1"/>
  <c r="M64" i="1" s="1"/>
  <c r="F63" i="1"/>
  <c r="G63" i="1" s="1"/>
  <c r="G62" i="1"/>
  <c r="M62" i="1" s="1"/>
  <c r="F62" i="1"/>
  <c r="F61" i="1"/>
  <c r="G61" i="1" s="1"/>
  <c r="F60" i="1"/>
  <c r="G60" i="1" s="1"/>
  <c r="M60" i="1" s="1"/>
  <c r="F59" i="1"/>
  <c r="G59" i="1" s="1"/>
  <c r="G58" i="1"/>
  <c r="M58" i="1" s="1"/>
  <c r="F58" i="1"/>
  <c r="F57" i="1"/>
  <c r="G57" i="1" s="1"/>
  <c r="G56" i="1"/>
  <c r="M56" i="1" s="1"/>
  <c r="F56" i="1"/>
  <c r="G55" i="1"/>
  <c r="G54" i="1"/>
  <c r="H54" i="1" s="1"/>
  <c r="G53" i="1"/>
  <c r="M53" i="1" s="1"/>
  <c r="G52" i="1"/>
  <c r="M52" i="1" s="1"/>
  <c r="G51" i="1"/>
  <c r="M51" i="1" s="1"/>
  <c r="G50" i="1"/>
  <c r="M50" i="1" s="1"/>
  <c r="G49" i="1"/>
  <c r="M49" i="1" s="1"/>
  <c r="G48" i="1"/>
  <c r="M48" i="1" s="1"/>
  <c r="G47" i="1"/>
  <c r="G46" i="1"/>
  <c r="H46" i="1" s="1"/>
  <c r="G45" i="1"/>
  <c r="M45" i="1" s="1"/>
  <c r="G44" i="1"/>
  <c r="M44" i="1" s="1"/>
  <c r="G43" i="1"/>
  <c r="M43" i="1" s="1"/>
  <c r="G42" i="1"/>
  <c r="M42" i="1" s="1"/>
  <c r="M41" i="1"/>
  <c r="G41" i="1"/>
  <c r="H41" i="1" s="1"/>
  <c r="G40" i="1"/>
  <c r="M40" i="1" s="1"/>
  <c r="G39" i="1"/>
  <c r="H38" i="1"/>
  <c r="G38" i="1"/>
  <c r="M38" i="1" s="1"/>
  <c r="G37" i="1"/>
  <c r="M37" i="1" s="1"/>
  <c r="H36" i="1"/>
  <c r="G36" i="1"/>
  <c r="M36" i="1" s="1"/>
  <c r="G35" i="1"/>
  <c r="M35" i="1" s="1"/>
  <c r="G34" i="1"/>
  <c r="M34" i="1" s="1"/>
  <c r="H33" i="1"/>
  <c r="G33" i="1"/>
  <c r="M33" i="1" s="1"/>
  <c r="G32" i="1"/>
  <c r="M32" i="1" s="1"/>
  <c r="G31" i="1"/>
  <c r="F30" i="1"/>
  <c r="G30" i="1" s="1"/>
  <c r="H30" i="1" s="1"/>
  <c r="G29" i="1"/>
  <c r="M29" i="1" s="1"/>
  <c r="F28" i="1"/>
  <c r="G28" i="1" s="1"/>
  <c r="G27" i="1"/>
  <c r="M27" i="1" s="1"/>
  <c r="F26" i="1"/>
  <c r="G26" i="1" s="1"/>
  <c r="M25" i="1"/>
  <c r="H25" i="1"/>
  <c r="G25" i="1"/>
  <c r="G24" i="1"/>
  <c r="G23" i="1"/>
  <c r="M23" i="1" s="1"/>
  <c r="G22" i="1"/>
  <c r="M22" i="1" s="1"/>
  <c r="G21" i="1"/>
  <c r="M21" i="1" s="1"/>
  <c r="G20" i="1"/>
  <c r="M20" i="1" s="1"/>
  <c r="G19" i="1"/>
  <c r="M19" i="1" s="1"/>
  <c r="M18" i="1"/>
  <c r="G18" i="1"/>
  <c r="H18" i="1" s="1"/>
  <c r="G17" i="1"/>
  <c r="M17" i="1" s="1"/>
  <c r="G16" i="1"/>
  <c r="M15" i="1"/>
  <c r="H15" i="1"/>
  <c r="G15" i="1"/>
  <c r="G14" i="1"/>
  <c r="M14" i="1" s="1"/>
  <c r="G13" i="1"/>
  <c r="M13" i="1" s="1"/>
  <c r="G12" i="1"/>
  <c r="M12" i="1" s="1"/>
  <c r="G11" i="1"/>
  <c r="M10" i="1"/>
  <c r="G10" i="1"/>
  <c r="H10" i="1" s="1"/>
  <c r="G9" i="1"/>
  <c r="M9" i="1" s="1"/>
  <c r="G8" i="1"/>
  <c r="M7" i="1"/>
  <c r="H7" i="1"/>
  <c r="G7" i="1"/>
  <c r="G6" i="1"/>
  <c r="M6" i="1" s="1"/>
  <c r="G5" i="1"/>
  <c r="M5" i="1" s="1"/>
  <c r="G4" i="1"/>
  <c r="M4" i="1" s="1"/>
  <c r="G3" i="1"/>
  <c r="M2" i="1"/>
  <c r="N2" i="1" s="1"/>
  <c r="H2" i="1"/>
  <c r="G2" i="1"/>
  <c r="H28" i="1" l="1"/>
  <c r="M28" i="1"/>
  <c r="M26" i="1"/>
  <c r="H26" i="1"/>
  <c r="M54" i="1"/>
  <c r="H110" i="1"/>
  <c r="H126" i="1"/>
  <c r="M135" i="1"/>
  <c r="H146" i="1"/>
  <c r="H142" i="1"/>
  <c r="H9" i="1"/>
  <c r="H23" i="1"/>
  <c r="M30" i="1"/>
  <c r="H44" i="1"/>
  <c r="H49" i="1"/>
  <c r="M78" i="1"/>
  <c r="H83" i="1"/>
  <c r="M116" i="1"/>
  <c r="H40" i="1"/>
  <c r="H76" i="1"/>
  <c r="M94" i="1"/>
  <c r="M132" i="1"/>
  <c r="H66" i="1"/>
  <c r="H17" i="1"/>
  <c r="H48" i="1"/>
  <c r="H100" i="1"/>
  <c r="H130" i="1"/>
  <c r="H32" i="1"/>
  <c r="M46" i="1"/>
  <c r="H88" i="1"/>
  <c r="H118" i="1"/>
  <c r="M61" i="1"/>
  <c r="H61" i="1"/>
  <c r="H69" i="1"/>
  <c r="M69" i="1"/>
  <c r="H57" i="1"/>
  <c r="M57" i="1"/>
  <c r="M77" i="1"/>
  <c r="H77" i="1"/>
  <c r="M11" i="1"/>
  <c r="H11" i="1"/>
  <c r="H93" i="1"/>
  <c r="M93" i="1"/>
  <c r="M31" i="1"/>
  <c r="H31" i="1"/>
  <c r="M55" i="1"/>
  <c r="H55" i="1"/>
  <c r="H59" i="1"/>
  <c r="M59" i="1"/>
  <c r="H63" i="1"/>
  <c r="M63" i="1"/>
  <c r="H101" i="1"/>
  <c r="M101" i="1"/>
  <c r="M3" i="1"/>
  <c r="H3" i="1"/>
  <c r="H8" i="1"/>
  <c r="M8" i="1"/>
  <c r="M47" i="1"/>
  <c r="H47" i="1"/>
  <c r="H104" i="1"/>
  <c r="H122" i="1"/>
  <c r="H21" i="1"/>
  <c r="H52" i="1"/>
  <c r="H80" i="1"/>
  <c r="H133" i="1"/>
  <c r="M133" i="1"/>
  <c r="H5" i="1"/>
  <c r="H13" i="1"/>
  <c r="M65" i="1"/>
  <c r="H65" i="1"/>
  <c r="M67" i="1"/>
  <c r="H109" i="1"/>
  <c r="M109" i="1"/>
  <c r="H138" i="1"/>
  <c r="M24" i="1"/>
  <c r="H24" i="1"/>
  <c r="H141" i="1"/>
  <c r="M141" i="1"/>
  <c r="H117" i="1"/>
  <c r="M117" i="1"/>
  <c r="M39" i="1"/>
  <c r="H39" i="1"/>
  <c r="H85" i="1"/>
  <c r="M85" i="1"/>
  <c r="H96" i="1"/>
  <c r="H114" i="1"/>
  <c r="M16" i="1"/>
  <c r="H16" i="1"/>
  <c r="H72" i="1"/>
  <c r="H125" i="1"/>
  <c r="M125" i="1"/>
  <c r="H149" i="1"/>
  <c r="H19" i="1"/>
  <c r="H29" i="1"/>
  <c r="H34" i="1"/>
  <c r="H42" i="1"/>
  <c r="H50" i="1"/>
  <c r="H74" i="1"/>
  <c r="H82" i="1"/>
  <c r="H90" i="1"/>
  <c r="H98" i="1"/>
  <c r="H106" i="1"/>
  <c r="H112" i="1"/>
  <c r="H120" i="1"/>
  <c r="H128" i="1"/>
  <c r="H136" i="1"/>
  <c r="H144" i="1"/>
  <c r="H6" i="1"/>
  <c r="H14" i="1"/>
  <c r="H22" i="1"/>
  <c r="H27" i="1"/>
  <c r="H37" i="1"/>
  <c r="H45" i="1"/>
  <c r="H53" i="1"/>
  <c r="H68" i="1"/>
  <c r="H71" i="1"/>
  <c r="H79" i="1"/>
  <c r="H87" i="1"/>
  <c r="H95" i="1"/>
  <c r="H103" i="1"/>
  <c r="H115" i="1"/>
  <c r="H123" i="1"/>
  <c r="H131" i="1"/>
  <c r="H139" i="1"/>
  <c r="H147" i="1"/>
  <c r="H150" i="1"/>
  <c r="H4" i="1"/>
  <c r="H12" i="1"/>
  <c r="H20" i="1"/>
  <c r="H35" i="1"/>
  <c r="H43" i="1"/>
  <c r="H51" i="1"/>
  <c r="H56" i="1"/>
  <c r="H58" i="1"/>
  <c r="H60" i="1"/>
  <c r="H62" i="1"/>
  <c r="H64" i="1"/>
  <c r="H73" i="1"/>
  <c r="H81" i="1"/>
  <c r="H89" i="1"/>
  <c r="H97" i="1"/>
  <c r="H105" i="1"/>
  <c r="H113" i="1"/>
  <c r="H121" i="1"/>
  <c r="H129" i="1"/>
  <c r="H137" i="1"/>
  <c r="H145" i="1"/>
  <c r="H148" i="1"/>
  <c r="H1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<sst xmlns="http://schemas.openxmlformats.org/spreadsheetml/2006/main" count="232" uniqueCount="56">
  <si>
    <t>Liquid</t>
  </si>
  <si>
    <t>rho(kg/m3)</t>
  </si>
  <si>
    <t>Concentration</t>
  </si>
  <si>
    <t>k(Pa*s^n)</t>
  </si>
  <si>
    <t>n(-)</t>
  </si>
  <si>
    <t>Flow Rate(GPM)</t>
  </si>
  <si>
    <t>Flow Rate[m3/h]</t>
  </si>
  <si>
    <t>Mass Flow[kg/s]</t>
  </si>
  <si>
    <t>Omega(rpm)</t>
  </si>
  <si>
    <t>Torque[N-m]</t>
  </si>
  <si>
    <t>TotalHead[m]</t>
  </si>
  <si>
    <t>Break Power[W]</t>
  </si>
  <si>
    <t>Hydraulic Power[W]</t>
  </si>
  <si>
    <t>Efficiency[-]</t>
  </si>
  <si>
    <t>Water</t>
  </si>
  <si>
    <t>Sunflower oil</t>
  </si>
  <si>
    <t>Mineral oil</t>
  </si>
  <si>
    <t>IsoparL oil</t>
  </si>
  <si>
    <t>SF1N</t>
  </si>
  <si>
    <t>SF2N</t>
  </si>
  <si>
    <t>SF3N</t>
  </si>
  <si>
    <t>SF4N</t>
  </si>
  <si>
    <t>SF5N</t>
  </si>
  <si>
    <t>SF6N</t>
  </si>
  <si>
    <t>SF2CF</t>
  </si>
  <si>
    <t>SF8CF</t>
  </si>
  <si>
    <t>SF9CF</t>
  </si>
  <si>
    <t>SF1BO</t>
  </si>
  <si>
    <t>SF2BO</t>
  </si>
  <si>
    <t>SF3BO</t>
  </si>
  <si>
    <t>SF4BO</t>
  </si>
  <si>
    <t>SF5BO</t>
  </si>
  <si>
    <t>SF6BO</t>
  </si>
  <si>
    <t>SF7BO</t>
  </si>
  <si>
    <t>SF8BO</t>
  </si>
  <si>
    <t>SF9BO</t>
  </si>
  <si>
    <t>SF11PL</t>
  </si>
  <si>
    <t>SF12PL</t>
  </si>
  <si>
    <t>SF13PL</t>
  </si>
  <si>
    <t>SF14PL</t>
  </si>
  <si>
    <t>SF16PL</t>
  </si>
  <si>
    <t>SF17PL</t>
  </si>
  <si>
    <t>SF20PL</t>
  </si>
  <si>
    <t>SF11CF</t>
  </si>
  <si>
    <t>SF12CF</t>
  </si>
  <si>
    <t>SF13CF</t>
  </si>
  <si>
    <t>SF14CF</t>
  </si>
  <si>
    <t>Sunflower Oil</t>
  </si>
  <si>
    <t>MineralOil</t>
  </si>
  <si>
    <t>CMC0.5</t>
  </si>
  <si>
    <t>VOF90</t>
  </si>
  <si>
    <t>VOF80</t>
  </si>
  <si>
    <t>VOF70</t>
  </si>
  <si>
    <t>VOF60</t>
  </si>
  <si>
    <t>VOF50</t>
  </si>
  <si>
    <t>VOF40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</si>
</sst>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164" fontId="2" fillId="0" borderId="1" xfId="2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164" fontId="0" fillId="0" borderId="0" xfId="0" applyNumberFormat="1"/>
    <xf numFmtId="164" fontId="0" fillId="0" borderId="6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8" xfId="0" applyNumberFormat="1" applyBorder="1"/>
    <xf numFmtId="164" fontId="0" fillId="0" borderId="9" xfId="0" applyNumberFormat="1" applyBorder="1"/>
  </cellXfs>
  <cellStyles count="3">
    <cellStyle name="Normal" xfId="0" builtinId="0"/>
    <cellStyle name="Normal 2" xfId="2" xr:uid="{99D24332-4FBE-BC4A-9776-BDC8DC6683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andes-my.sharepoint.com/Users/danielmorantes/Downloads/Resultados%20Finales.xlsx" TargetMode="External"/><Relationship Id="rId1" Type="http://schemas.openxmlformats.org/officeDocument/2006/relationships/externalLinkPath" Target="https://uniandes-my.sharepoint.com/personal/d_morantes_uniandes_edu_co/Documents/2025-1/Seminario-PDP/Data_Final/Resultados%20Fi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ca error CFD-EXP "/>
      <sheetName val="Agua"/>
      <sheetName val="Girasol"/>
      <sheetName val="Mineral"/>
      <sheetName val="IsoparL"/>
      <sheetName val="CMC 0.5%"/>
      <sheetName val="CMC 1%"/>
      <sheetName val="Gráficas"/>
      <sheetName val="Eficiencias nuevas"/>
      <sheetName val="CMC 0.5% NUEVO"/>
      <sheetName val="CMC 1% NUEVO"/>
      <sheetName val="90-10 VOF"/>
      <sheetName val="80-20 VOF"/>
      <sheetName val="70-30 VOF"/>
      <sheetName val="60-40 VOF"/>
      <sheetName val="50-50 VOF"/>
      <sheetName val="40-60 VOF"/>
      <sheetName val="30-70 VOF"/>
      <sheetName val="20-80 VOF"/>
      <sheetName val="10-90 VOF"/>
      <sheetName val="VOF Consolidado"/>
      <sheetName val="Agua TIM"/>
    </sheetNames>
    <sheetDataSet>
      <sheetData sheetId="0" refreshError="1"/>
      <sheetData sheetId="1" refreshError="1">
        <row r="15">
          <cell r="B15">
            <v>0</v>
          </cell>
          <cell r="C15">
            <v>0.17429788616688024</v>
          </cell>
          <cell r="D15">
            <v>0.29667197972521248</v>
          </cell>
          <cell r="E15">
            <v>0.40082503546445664</v>
          </cell>
          <cell r="F15">
            <v>0.53738902023054347</v>
          </cell>
          <cell r="G15">
            <v>0.49891092290821087</v>
          </cell>
        </row>
        <row r="63">
          <cell r="B63">
            <v>46</v>
          </cell>
          <cell r="C63">
            <v>43.5</v>
          </cell>
          <cell r="D63">
            <v>42</v>
          </cell>
          <cell r="E63">
            <v>39</v>
          </cell>
          <cell r="F63">
            <v>32</v>
          </cell>
          <cell r="G63">
            <v>25</v>
          </cell>
        </row>
      </sheetData>
      <sheetData sheetId="2" refreshError="1">
        <row r="15">
          <cell r="B15">
            <v>0</v>
          </cell>
          <cell r="C15">
            <v>0.11610117076530363</v>
          </cell>
          <cell r="D15">
            <v>0.19261379209209967</v>
          </cell>
          <cell r="E15">
            <v>0.22579141933595268</v>
          </cell>
          <cell r="F15">
            <v>0.21012413682774506</v>
          </cell>
        </row>
        <row r="58">
          <cell r="B58">
            <v>35.372844203391779</v>
          </cell>
          <cell r="C58">
            <v>33.714742131357788</v>
          </cell>
          <cell r="D58">
            <v>30.39853798728981</v>
          </cell>
          <cell r="E58">
            <v>27.082333843221832</v>
          </cell>
          <cell r="F58">
            <v>19.897224864407875</v>
          </cell>
        </row>
      </sheetData>
      <sheetData sheetId="3" refreshError="1">
        <row r="15">
          <cell r="B15">
            <v>0</v>
          </cell>
          <cell r="C15">
            <v>0.14637125720917515</v>
          </cell>
          <cell r="D15">
            <v>0.25528803397162297</v>
          </cell>
          <cell r="E15">
            <v>0.28458082032482201</v>
          </cell>
          <cell r="F15">
            <v>0.31255039833963749</v>
          </cell>
        </row>
        <row r="58">
          <cell r="B58">
            <v>37.485479932674295</v>
          </cell>
          <cell r="C58">
            <v>36.349556298350834</v>
          </cell>
          <cell r="D58">
            <v>34.077709029703904</v>
          </cell>
          <cell r="E58">
            <v>30.669938126733513</v>
          </cell>
          <cell r="F58">
            <v>26.694205406601391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5">
          <cell r="B15">
            <v>0</v>
          </cell>
          <cell r="C15">
            <v>0.1812464954160089</v>
          </cell>
          <cell r="D15">
            <v>0.31385469079632938</v>
          </cell>
          <cell r="E15">
            <v>0.40392076121281989</v>
          </cell>
          <cell r="F15">
            <v>0.40533307156671083</v>
          </cell>
        </row>
        <row r="58">
          <cell r="B58">
            <v>44.535730035301938</v>
          </cell>
          <cell r="C58">
            <v>41.752246908095564</v>
          </cell>
          <cell r="D58">
            <v>39.664634562690786</v>
          </cell>
          <cell r="E58">
            <v>36.185280653682824</v>
          </cell>
          <cell r="F58">
            <v>28.530702053865305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EEC5-6457-9543-8D2B-B367375EB53B}">
  <dimension ref="A1:N151"/>
  <sheetViews>
    <sheetView tabSelected="1" workbookViewId="0">
      <selection activeCell="F19" sqref="F19"/>
    </sheetView>
  </sheetViews>
  <sheetFormatPr baseColWidth="10" defaultRowHeight="16" x14ac:dyDescent="0.2"/>
  <sheetData>
    <row r="1" spans="1:14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4" t="s">
        <v>14</v>
      </c>
      <c r="B2" s="5">
        <v>997</v>
      </c>
      <c r="C2" s="6">
        <v>1</v>
      </c>
      <c r="D2" s="5">
        <v>1E-3</v>
      </c>
      <c r="E2" s="5">
        <v>1</v>
      </c>
      <c r="F2" s="5">
        <v>0</v>
      </c>
      <c r="G2" s="5">
        <f>0.000063090196*F2*3600</f>
        <v>0</v>
      </c>
      <c r="H2" s="5">
        <f>G2*B2/3600</f>
        <v>0</v>
      </c>
      <c r="I2" s="5">
        <v>3450</v>
      </c>
      <c r="J2" s="5">
        <v>1.3828341168367799</v>
      </c>
      <c r="K2" s="5">
        <v>41.73171</v>
      </c>
      <c r="L2" s="5">
        <v>499.59469999999999</v>
      </c>
      <c r="M2" s="5">
        <f t="shared" ref="M2:M65" si="0">B2*9.81*G2/3600*K2</f>
        <v>0</v>
      </c>
      <c r="N2" s="7">
        <f>M2/L2</f>
        <v>0</v>
      </c>
    </row>
    <row r="3" spans="1:14" x14ac:dyDescent="0.2">
      <c r="A3" s="8" t="s">
        <v>14</v>
      </c>
      <c r="B3" s="9">
        <v>997</v>
      </c>
      <c r="C3" s="10">
        <v>1</v>
      </c>
      <c r="D3" s="9">
        <v>1E-3</v>
      </c>
      <c r="E3" s="9">
        <v>1</v>
      </c>
      <c r="F3" s="9">
        <v>5</v>
      </c>
      <c r="G3" s="9">
        <f>0.000063090196*F3*3600</f>
        <v>1.135623528</v>
      </c>
      <c r="H3" s="9">
        <f>G3*B3/3600</f>
        <v>0.31450462706000004</v>
      </c>
      <c r="I3" s="9">
        <v>3450</v>
      </c>
      <c r="J3" s="9">
        <v>1.4734828435178</v>
      </c>
      <c r="K3" s="9">
        <v>39.211840000000002</v>
      </c>
      <c r="L3" s="9">
        <v>532.34450000000004</v>
      </c>
      <c r="M3" s="9">
        <f t="shared" si="0"/>
        <v>120.97991318341199</v>
      </c>
      <c r="N3" s="11">
        <v>0.22725870000000001</v>
      </c>
    </row>
    <row r="4" spans="1:14" x14ac:dyDescent="0.2">
      <c r="A4" s="8" t="s">
        <v>14</v>
      </c>
      <c r="B4" s="9">
        <v>997</v>
      </c>
      <c r="C4" s="10">
        <v>1</v>
      </c>
      <c r="D4" s="9">
        <v>1E-3</v>
      </c>
      <c r="E4" s="9">
        <v>1</v>
      </c>
      <c r="F4" s="9">
        <v>10</v>
      </c>
      <c r="G4" s="9">
        <f t="shared" ref="G4:G67" si="1">0.000063090196*F4*3600</f>
        <v>2.271247056</v>
      </c>
      <c r="H4" s="9">
        <f t="shared" ref="H4:H67" si="2">G4*B4/3600</f>
        <v>0.62900925412000008</v>
      </c>
      <c r="I4" s="9">
        <v>3450</v>
      </c>
      <c r="J4" s="9">
        <v>1.6531604507811499</v>
      </c>
      <c r="K4" s="9">
        <v>37.667990000000003</v>
      </c>
      <c r="L4" s="9">
        <v>597.25900000000001</v>
      </c>
      <c r="M4" s="9">
        <f t="shared" si="0"/>
        <v>232.43337522511726</v>
      </c>
      <c r="N4" s="11">
        <v>0.38916679999999998</v>
      </c>
    </row>
    <row r="5" spans="1:14" x14ac:dyDescent="0.2">
      <c r="A5" s="8" t="s">
        <v>14</v>
      </c>
      <c r="B5" s="9">
        <v>997</v>
      </c>
      <c r="C5" s="10">
        <v>1</v>
      </c>
      <c r="D5" s="9">
        <v>1E-3</v>
      </c>
      <c r="E5" s="9">
        <v>1</v>
      </c>
      <c r="F5" s="9">
        <v>15</v>
      </c>
      <c r="G5" s="9">
        <f t="shared" si="1"/>
        <v>3.406870584</v>
      </c>
      <c r="H5" s="9">
        <f t="shared" si="2"/>
        <v>0.9435138811799999</v>
      </c>
      <c r="I5" s="9">
        <v>3450</v>
      </c>
      <c r="J5" s="9">
        <v>1.8590037092085201</v>
      </c>
      <c r="K5" s="9">
        <v>35.54721</v>
      </c>
      <c r="L5" s="9">
        <v>671.62670000000003</v>
      </c>
      <c r="M5" s="9">
        <f t="shared" si="0"/>
        <v>329.0203963684832</v>
      </c>
      <c r="N5" s="11">
        <v>0.48988589999999999</v>
      </c>
    </row>
    <row r="6" spans="1:14" x14ac:dyDescent="0.2">
      <c r="A6" s="8" t="s">
        <v>14</v>
      </c>
      <c r="B6" s="9">
        <v>997</v>
      </c>
      <c r="C6" s="10">
        <v>1</v>
      </c>
      <c r="D6" s="9">
        <v>1E-3</v>
      </c>
      <c r="E6" s="9">
        <v>1</v>
      </c>
      <c r="F6" s="9">
        <v>20</v>
      </c>
      <c r="G6" s="9">
        <f t="shared" si="1"/>
        <v>4.542494112</v>
      </c>
      <c r="H6" s="9">
        <f t="shared" si="2"/>
        <v>1.2580185082400002</v>
      </c>
      <c r="I6" s="9">
        <v>3450</v>
      </c>
      <c r="J6" s="9">
        <v>2.0346792091377601</v>
      </c>
      <c r="K6" s="9">
        <v>32.335909999999998</v>
      </c>
      <c r="L6" s="9">
        <v>735.09529999999995</v>
      </c>
      <c r="M6" s="9">
        <f t="shared" si="0"/>
        <v>399.06268968828022</v>
      </c>
      <c r="N6" s="11">
        <v>0.54287200000000002</v>
      </c>
    </row>
    <row r="7" spans="1:14" x14ac:dyDescent="0.2">
      <c r="A7" s="12" t="s">
        <v>14</v>
      </c>
      <c r="B7" s="13">
        <v>997</v>
      </c>
      <c r="C7" s="14">
        <v>1</v>
      </c>
      <c r="D7" s="13">
        <v>1E-3</v>
      </c>
      <c r="E7" s="13">
        <v>1</v>
      </c>
      <c r="F7" s="13">
        <v>25</v>
      </c>
      <c r="G7" s="13">
        <f t="shared" si="1"/>
        <v>5.67811764</v>
      </c>
      <c r="H7" s="13">
        <f t="shared" si="2"/>
        <v>1.5725231352999998</v>
      </c>
      <c r="I7" s="13">
        <v>3450</v>
      </c>
      <c r="J7" s="13">
        <v>2.1227357726089702</v>
      </c>
      <c r="K7" s="13">
        <v>26.93712</v>
      </c>
      <c r="L7" s="13">
        <v>766.90869999999995</v>
      </c>
      <c r="M7" s="13">
        <f t="shared" si="0"/>
        <v>415.54418754783637</v>
      </c>
      <c r="N7" s="15">
        <v>0.54184319999999997</v>
      </c>
    </row>
    <row r="8" spans="1:14" x14ac:dyDescent="0.2">
      <c r="A8" s="4" t="s">
        <v>15</v>
      </c>
      <c r="B8" s="5">
        <v>922</v>
      </c>
      <c r="C8" s="6">
        <v>1</v>
      </c>
      <c r="D8" s="5">
        <v>6.9000000000000006E-2</v>
      </c>
      <c r="E8" s="5">
        <v>1</v>
      </c>
      <c r="F8" s="5">
        <v>0</v>
      </c>
      <c r="G8" s="5">
        <f t="shared" si="1"/>
        <v>0</v>
      </c>
      <c r="H8" s="5">
        <f t="shared" si="2"/>
        <v>0</v>
      </c>
      <c r="I8" s="5">
        <v>3450</v>
      </c>
      <c r="J8" s="5">
        <v>1.8470974258847099</v>
      </c>
      <c r="K8" s="5">
        <v>35.37229</v>
      </c>
      <c r="L8" s="5">
        <v>667.3252</v>
      </c>
      <c r="M8" s="5">
        <f t="shared" si="0"/>
        <v>0</v>
      </c>
      <c r="N8" s="7">
        <v>0</v>
      </c>
    </row>
    <row r="9" spans="1:14" x14ac:dyDescent="0.2">
      <c r="A9" s="8" t="s">
        <v>15</v>
      </c>
      <c r="B9" s="9">
        <v>922</v>
      </c>
      <c r="C9" s="10">
        <v>1</v>
      </c>
      <c r="D9" s="9">
        <v>6.9000000000000006E-2</v>
      </c>
      <c r="E9" s="9">
        <v>1</v>
      </c>
      <c r="F9" s="9">
        <v>5</v>
      </c>
      <c r="G9" s="9">
        <f t="shared" si="1"/>
        <v>1.135623528</v>
      </c>
      <c r="H9" s="9">
        <f t="shared" si="2"/>
        <v>0.29084580355999995</v>
      </c>
      <c r="I9" s="9">
        <v>3450</v>
      </c>
      <c r="J9" s="9">
        <v>2.0120339371221401</v>
      </c>
      <c r="K9" s="9">
        <v>32.822380000000003</v>
      </c>
      <c r="L9" s="9">
        <v>726.91399999999999</v>
      </c>
      <c r="M9" s="9">
        <f t="shared" si="0"/>
        <v>93.648727076204906</v>
      </c>
      <c r="N9" s="11">
        <v>0.12883049999999999</v>
      </c>
    </row>
    <row r="10" spans="1:14" x14ac:dyDescent="0.2">
      <c r="A10" s="8" t="s">
        <v>15</v>
      </c>
      <c r="B10" s="9">
        <v>922</v>
      </c>
      <c r="C10" s="10">
        <v>1</v>
      </c>
      <c r="D10" s="9">
        <v>6.9000000000000006E-2</v>
      </c>
      <c r="E10" s="9">
        <v>1</v>
      </c>
      <c r="F10" s="9">
        <v>10</v>
      </c>
      <c r="G10" s="9">
        <f t="shared" si="1"/>
        <v>2.271247056</v>
      </c>
      <c r="H10" s="9">
        <f t="shared" si="2"/>
        <v>0.5816916071199999</v>
      </c>
      <c r="I10" s="9">
        <v>3450</v>
      </c>
      <c r="J10" s="9">
        <v>2.2225757252473399</v>
      </c>
      <c r="K10" s="9">
        <v>29.80836</v>
      </c>
      <c r="L10" s="9">
        <v>802.97919999999999</v>
      </c>
      <c r="M10" s="9">
        <f t="shared" si="0"/>
        <v>170.09826650165303</v>
      </c>
      <c r="N10" s="11">
        <v>0.21183399999999999</v>
      </c>
    </row>
    <row r="11" spans="1:14" x14ac:dyDescent="0.2">
      <c r="A11" s="8" t="s">
        <v>15</v>
      </c>
      <c r="B11" s="9">
        <v>922</v>
      </c>
      <c r="C11" s="10">
        <v>1</v>
      </c>
      <c r="D11" s="9">
        <v>6.9000000000000006E-2</v>
      </c>
      <c r="E11" s="9">
        <v>1</v>
      </c>
      <c r="F11" s="9">
        <v>15</v>
      </c>
      <c r="G11" s="9">
        <f t="shared" si="1"/>
        <v>3.406870584</v>
      </c>
      <c r="H11" s="9">
        <f t="shared" si="2"/>
        <v>0.87253741068000001</v>
      </c>
      <c r="I11" s="9">
        <v>3450</v>
      </c>
      <c r="J11" s="9">
        <v>2.4114100015513902</v>
      </c>
      <c r="K11" s="9">
        <v>25.374400000000001</v>
      </c>
      <c r="L11" s="9">
        <v>871.20180000000005</v>
      </c>
      <c r="M11" s="9">
        <f t="shared" si="0"/>
        <v>217.19451121360981</v>
      </c>
      <c r="N11" s="11">
        <v>0.24930450000000001</v>
      </c>
    </row>
    <row r="12" spans="1:14" x14ac:dyDescent="0.2">
      <c r="A12" s="8" t="s">
        <v>15</v>
      </c>
      <c r="B12" s="9">
        <v>922</v>
      </c>
      <c r="C12" s="10">
        <v>1</v>
      </c>
      <c r="D12" s="9">
        <v>6.9000000000000006E-2</v>
      </c>
      <c r="E12" s="9">
        <v>1</v>
      </c>
      <c r="F12" s="9">
        <v>20</v>
      </c>
      <c r="G12" s="9">
        <f t="shared" si="1"/>
        <v>4.542494112</v>
      </c>
      <c r="H12" s="9">
        <f t="shared" si="2"/>
        <v>1.1633832142399998</v>
      </c>
      <c r="I12" s="9">
        <v>3450</v>
      </c>
      <c r="J12" s="9">
        <v>2.58820883352083</v>
      </c>
      <c r="K12" s="9">
        <v>18.967880000000001</v>
      </c>
      <c r="L12" s="9">
        <v>935.07629999999995</v>
      </c>
      <c r="M12" s="9">
        <f t="shared" si="0"/>
        <v>216.47641850885955</v>
      </c>
      <c r="N12" s="11">
        <v>0.23150670000000001</v>
      </c>
    </row>
    <row r="13" spans="1:14" x14ac:dyDescent="0.2">
      <c r="A13" s="12" t="s">
        <v>15</v>
      </c>
      <c r="B13" s="13">
        <v>922</v>
      </c>
      <c r="C13" s="14">
        <v>1</v>
      </c>
      <c r="D13" s="13">
        <v>6.9000000000000006E-2</v>
      </c>
      <c r="E13" s="13">
        <v>1</v>
      </c>
      <c r="F13" s="13">
        <v>25</v>
      </c>
      <c r="G13" s="13">
        <f t="shared" si="1"/>
        <v>5.67811764</v>
      </c>
      <c r="H13" s="13">
        <f t="shared" si="2"/>
        <v>1.4542290177999999</v>
      </c>
      <c r="I13" s="13">
        <v>3450</v>
      </c>
      <c r="J13" s="13">
        <v>2.7650672091978699</v>
      </c>
      <c r="K13" s="13">
        <v>11.423170000000001</v>
      </c>
      <c r="L13" s="13">
        <v>998.97220000000004</v>
      </c>
      <c r="M13" s="13">
        <f t="shared" si="0"/>
        <v>162.9627908876644</v>
      </c>
      <c r="N13" s="15">
        <v>0.16313040000000001</v>
      </c>
    </row>
    <row r="14" spans="1:14" x14ac:dyDescent="0.2">
      <c r="A14" s="4" t="s">
        <v>16</v>
      </c>
      <c r="B14" s="5">
        <v>863</v>
      </c>
      <c r="C14" s="6">
        <v>1</v>
      </c>
      <c r="D14" s="5">
        <v>3.1E-2</v>
      </c>
      <c r="E14" s="5">
        <v>1</v>
      </c>
      <c r="F14" s="5">
        <v>0</v>
      </c>
      <c r="G14" s="5">
        <f t="shared" si="1"/>
        <v>0</v>
      </c>
      <c r="H14" s="5">
        <f t="shared" si="2"/>
        <v>0</v>
      </c>
      <c r="I14" s="5">
        <v>3450</v>
      </c>
      <c r="J14" s="5">
        <v>1.5198181839651701</v>
      </c>
      <c r="K14" s="5">
        <v>37.533639999999998</v>
      </c>
      <c r="L14" s="5">
        <v>549.0847</v>
      </c>
      <c r="M14" s="5">
        <f t="shared" si="0"/>
        <v>0</v>
      </c>
      <c r="N14" s="7">
        <v>0</v>
      </c>
    </row>
    <row r="15" spans="1:14" x14ac:dyDescent="0.2">
      <c r="A15" s="8" t="s">
        <v>16</v>
      </c>
      <c r="B15" s="9">
        <v>863</v>
      </c>
      <c r="C15" s="10">
        <v>1</v>
      </c>
      <c r="D15" s="9">
        <v>3.1E-2</v>
      </c>
      <c r="E15" s="9">
        <v>1</v>
      </c>
      <c r="F15" s="9">
        <v>5</v>
      </c>
      <c r="G15" s="9">
        <f t="shared" si="1"/>
        <v>1.135623528</v>
      </c>
      <c r="H15" s="9">
        <f t="shared" si="2"/>
        <v>0.27223419574000002</v>
      </c>
      <c r="I15" s="9">
        <v>3450</v>
      </c>
      <c r="J15" s="9">
        <v>1.65972288951581</v>
      </c>
      <c r="K15" s="9">
        <v>35.448839999999997</v>
      </c>
      <c r="L15" s="9">
        <v>599.62990000000002</v>
      </c>
      <c r="M15" s="9">
        <f t="shared" si="0"/>
        <v>94.670291048169375</v>
      </c>
      <c r="N15" s="11">
        <v>0.1578812</v>
      </c>
    </row>
    <row r="16" spans="1:14" x14ac:dyDescent="0.2">
      <c r="A16" s="8" t="s">
        <v>16</v>
      </c>
      <c r="B16" s="9">
        <v>863</v>
      </c>
      <c r="C16" s="10">
        <v>1</v>
      </c>
      <c r="D16" s="9">
        <v>3.1E-2</v>
      </c>
      <c r="E16" s="9">
        <v>1</v>
      </c>
      <c r="F16" s="9">
        <v>10</v>
      </c>
      <c r="G16" s="9">
        <f t="shared" si="1"/>
        <v>2.271247056</v>
      </c>
      <c r="H16" s="9">
        <f t="shared" si="2"/>
        <v>0.54446839148000004</v>
      </c>
      <c r="I16" s="9">
        <v>3450</v>
      </c>
      <c r="J16" s="9">
        <v>1.83555022611566</v>
      </c>
      <c r="K16" s="9">
        <v>32.996630000000003</v>
      </c>
      <c r="L16" s="9">
        <v>663.15340000000003</v>
      </c>
      <c r="M16" s="9">
        <f t="shared" si="0"/>
        <v>176.2427524121386</v>
      </c>
      <c r="N16" s="11">
        <v>0.26576470000000002</v>
      </c>
    </row>
    <row r="17" spans="1:14" x14ac:dyDescent="0.2">
      <c r="A17" s="8" t="s">
        <v>16</v>
      </c>
      <c r="B17" s="9">
        <v>863</v>
      </c>
      <c r="C17" s="10">
        <v>1</v>
      </c>
      <c r="D17" s="9">
        <v>3.1E-2</v>
      </c>
      <c r="E17" s="9">
        <v>1</v>
      </c>
      <c r="F17" s="9">
        <v>15</v>
      </c>
      <c r="G17" s="9">
        <f t="shared" si="1"/>
        <v>3.406870584</v>
      </c>
      <c r="H17" s="9">
        <f t="shared" si="2"/>
        <v>0.81670258722</v>
      </c>
      <c r="I17" s="9">
        <v>3450</v>
      </c>
      <c r="J17" s="9">
        <v>2.0103912236762702</v>
      </c>
      <c r="K17" s="9">
        <v>29.174679999999999</v>
      </c>
      <c r="L17" s="9">
        <v>726.32050000000004</v>
      </c>
      <c r="M17" s="9">
        <f t="shared" si="0"/>
        <v>233.74322941206594</v>
      </c>
      <c r="N17" s="11">
        <v>0.3218183</v>
      </c>
    </row>
    <row r="18" spans="1:14" x14ac:dyDescent="0.2">
      <c r="A18" s="8" t="s">
        <v>16</v>
      </c>
      <c r="B18" s="9">
        <v>863</v>
      </c>
      <c r="C18" s="10">
        <v>1</v>
      </c>
      <c r="D18" s="9">
        <v>3.1E-2</v>
      </c>
      <c r="E18" s="9">
        <v>1</v>
      </c>
      <c r="F18" s="9">
        <v>20</v>
      </c>
      <c r="G18" s="9">
        <f t="shared" si="1"/>
        <v>4.542494112</v>
      </c>
      <c r="H18" s="9">
        <f t="shared" si="2"/>
        <v>1.0889367829600001</v>
      </c>
      <c r="I18" s="9">
        <v>3450</v>
      </c>
      <c r="J18" s="9">
        <v>2.1454690697716101</v>
      </c>
      <c r="K18" s="9">
        <v>24.040900000000001</v>
      </c>
      <c r="L18" s="9">
        <v>775.12180000000001</v>
      </c>
      <c r="M18" s="9">
        <f t="shared" si="0"/>
        <v>256.81618919659263</v>
      </c>
      <c r="N18" s="11">
        <v>0.3313236</v>
      </c>
    </row>
    <row r="19" spans="1:14" x14ac:dyDescent="0.2">
      <c r="A19" s="12" t="s">
        <v>16</v>
      </c>
      <c r="B19" s="13">
        <v>863</v>
      </c>
      <c r="C19" s="14">
        <v>1</v>
      </c>
      <c r="D19" s="13">
        <v>3.1E-2</v>
      </c>
      <c r="E19" s="13">
        <v>1</v>
      </c>
      <c r="F19" s="13">
        <v>25</v>
      </c>
      <c r="G19" s="13">
        <f t="shared" si="1"/>
        <v>5.67811764</v>
      </c>
      <c r="H19" s="13">
        <f t="shared" si="2"/>
        <v>1.3611709786999999</v>
      </c>
      <c r="I19" s="13">
        <v>3450</v>
      </c>
      <c r="J19" s="13">
        <v>2.2729593412220099</v>
      </c>
      <c r="K19" s="13">
        <v>16.75647</v>
      </c>
      <c r="L19" s="13">
        <v>821.18190000000004</v>
      </c>
      <c r="M19" s="13">
        <f t="shared" si="0"/>
        <v>223.75060676737505</v>
      </c>
      <c r="N19" s="15">
        <v>0.27247379999999999</v>
      </c>
    </row>
    <row r="20" spans="1:14" x14ac:dyDescent="0.2">
      <c r="A20" s="4" t="s">
        <v>17</v>
      </c>
      <c r="B20" s="5">
        <v>762</v>
      </c>
      <c r="C20" s="6">
        <v>1</v>
      </c>
      <c r="D20" s="5">
        <v>1E-3</v>
      </c>
      <c r="E20" s="5">
        <v>1</v>
      </c>
      <c r="F20" s="5">
        <v>0</v>
      </c>
      <c r="G20" s="5">
        <f t="shared" si="1"/>
        <v>0</v>
      </c>
      <c r="H20" s="5">
        <f t="shared" si="2"/>
        <v>0</v>
      </c>
      <c r="I20" s="5">
        <v>3450</v>
      </c>
      <c r="J20" s="5">
        <v>1.04346594563331</v>
      </c>
      <c r="K20" s="5">
        <v>41.358930000000001</v>
      </c>
      <c r="L20" s="5">
        <v>376.98669999999998</v>
      </c>
      <c r="M20" s="5">
        <f t="shared" si="0"/>
        <v>0</v>
      </c>
      <c r="N20" s="7">
        <v>0</v>
      </c>
    </row>
    <row r="21" spans="1:14" x14ac:dyDescent="0.2">
      <c r="A21" s="8" t="s">
        <v>17</v>
      </c>
      <c r="B21" s="9">
        <v>762</v>
      </c>
      <c r="C21" s="10">
        <v>1</v>
      </c>
      <c r="D21" s="9">
        <v>1E-3</v>
      </c>
      <c r="E21" s="9">
        <v>1</v>
      </c>
      <c r="F21" s="9">
        <v>5</v>
      </c>
      <c r="G21" s="9">
        <f t="shared" si="1"/>
        <v>1.135623528</v>
      </c>
      <c r="H21" s="9">
        <f t="shared" si="2"/>
        <v>0.24037364676</v>
      </c>
      <c r="I21" s="9">
        <v>3450</v>
      </c>
      <c r="J21" s="9">
        <v>1.13994142813438</v>
      </c>
      <c r="K21" s="9">
        <v>39.035150000000002</v>
      </c>
      <c r="L21" s="9">
        <v>411.84160000000003</v>
      </c>
      <c r="M21" s="9">
        <f t="shared" si="0"/>
        <v>92.047439515344664</v>
      </c>
      <c r="N21" s="11">
        <v>0.22350200000000001</v>
      </c>
    </row>
    <row r="22" spans="1:14" x14ac:dyDescent="0.2">
      <c r="A22" s="8" t="s">
        <v>17</v>
      </c>
      <c r="B22" s="9">
        <v>762</v>
      </c>
      <c r="C22" s="10">
        <v>1</v>
      </c>
      <c r="D22" s="9">
        <v>1E-3</v>
      </c>
      <c r="E22" s="9">
        <v>1</v>
      </c>
      <c r="F22" s="9">
        <v>10</v>
      </c>
      <c r="G22" s="9">
        <f t="shared" si="1"/>
        <v>2.271247056</v>
      </c>
      <c r="H22" s="9">
        <f t="shared" si="2"/>
        <v>0.48074729352000001</v>
      </c>
      <c r="I22" s="9">
        <v>3450</v>
      </c>
      <c r="J22" s="9">
        <v>1.27244803077522</v>
      </c>
      <c r="K22" s="9">
        <v>37.435940000000002</v>
      </c>
      <c r="L22" s="9">
        <v>459.714</v>
      </c>
      <c r="M22" s="9">
        <f t="shared" si="0"/>
        <v>176.55279525504946</v>
      </c>
      <c r="N22" s="11">
        <v>0.38404919999999998</v>
      </c>
    </row>
    <row r="23" spans="1:14" x14ac:dyDescent="0.2">
      <c r="A23" s="8" t="s">
        <v>17</v>
      </c>
      <c r="B23" s="9">
        <v>762</v>
      </c>
      <c r="C23" s="10">
        <v>1</v>
      </c>
      <c r="D23" s="9">
        <v>1E-3</v>
      </c>
      <c r="E23" s="9">
        <v>1</v>
      </c>
      <c r="F23" s="9">
        <v>15</v>
      </c>
      <c r="G23" s="9">
        <f t="shared" si="1"/>
        <v>3.406870584</v>
      </c>
      <c r="H23" s="9">
        <f t="shared" si="2"/>
        <v>0.72112094028000007</v>
      </c>
      <c r="I23" s="9">
        <v>3450</v>
      </c>
      <c r="J23" s="9">
        <v>1.4342490667774299</v>
      </c>
      <c r="K23" s="9">
        <v>35.357559999999999</v>
      </c>
      <c r="L23" s="9">
        <v>518.16999999999996</v>
      </c>
      <c r="M23" s="9">
        <f t="shared" si="0"/>
        <v>250.12632451855592</v>
      </c>
      <c r="N23" s="11">
        <v>0.4827109</v>
      </c>
    </row>
    <row r="24" spans="1:14" x14ac:dyDescent="0.2">
      <c r="A24" s="8" t="s">
        <v>17</v>
      </c>
      <c r="B24" s="9">
        <v>762</v>
      </c>
      <c r="C24" s="10">
        <v>1</v>
      </c>
      <c r="D24" s="9">
        <v>1E-3</v>
      </c>
      <c r="E24" s="9">
        <v>1</v>
      </c>
      <c r="F24" s="9">
        <v>20</v>
      </c>
      <c r="G24" s="9">
        <f t="shared" si="1"/>
        <v>4.542494112</v>
      </c>
      <c r="H24" s="9">
        <f t="shared" si="2"/>
        <v>0.96149458704000001</v>
      </c>
      <c r="I24" s="9">
        <v>3450</v>
      </c>
      <c r="J24" s="9">
        <v>1.5670211887163701</v>
      </c>
      <c r="K24" s="9">
        <v>32.062199999999997</v>
      </c>
      <c r="L24" s="9">
        <v>566.13840000000005</v>
      </c>
      <c r="M24" s="9">
        <f t="shared" si="0"/>
        <v>302.41906745370602</v>
      </c>
      <c r="N24" s="11">
        <v>0.53417870000000001</v>
      </c>
    </row>
    <row r="25" spans="1:14" x14ac:dyDescent="0.2">
      <c r="A25" s="12" t="s">
        <v>17</v>
      </c>
      <c r="B25" s="13">
        <v>762</v>
      </c>
      <c r="C25" s="14">
        <v>1</v>
      </c>
      <c r="D25" s="13">
        <v>1E-3</v>
      </c>
      <c r="E25" s="13">
        <v>1</v>
      </c>
      <c r="F25" s="13">
        <v>25</v>
      </c>
      <c r="G25" s="13">
        <f t="shared" si="1"/>
        <v>5.67811764</v>
      </c>
      <c r="H25" s="13">
        <f t="shared" si="2"/>
        <v>1.2018682338</v>
      </c>
      <c r="I25" s="13">
        <v>3450</v>
      </c>
      <c r="J25" s="13">
        <v>1.6327449301054699</v>
      </c>
      <c r="K25" s="13">
        <v>26.563500000000001</v>
      </c>
      <c r="L25" s="13">
        <v>589.88319999999999</v>
      </c>
      <c r="M25" s="13">
        <f t="shared" si="0"/>
        <v>313.19236118803923</v>
      </c>
      <c r="N25" s="15">
        <v>0.53093959999999996</v>
      </c>
    </row>
    <row r="26" spans="1:14" x14ac:dyDescent="0.2">
      <c r="A26" s="4" t="s">
        <v>18</v>
      </c>
      <c r="B26" s="5">
        <v>839.82976074137764</v>
      </c>
      <c r="C26" s="6">
        <v>1</v>
      </c>
      <c r="D26" s="5">
        <v>3.1543033455886972E-2</v>
      </c>
      <c r="E26" s="5">
        <v>1</v>
      </c>
      <c r="F26" s="5">
        <f>0</f>
        <v>0</v>
      </c>
      <c r="G26" s="5">
        <f>0.000063090196*F26*3600</f>
        <v>0</v>
      </c>
      <c r="H26" s="5">
        <f>G26*B26/3600</f>
        <v>0</v>
      </c>
      <c r="I26" s="5">
        <v>3450</v>
      </c>
      <c r="J26" s="5">
        <v>1.4887604922051301</v>
      </c>
      <c r="K26" s="5">
        <v>37.442799999999998</v>
      </c>
      <c r="L26" s="5">
        <v>537.86410000000001</v>
      </c>
      <c r="M26" s="5">
        <f t="shared" si="0"/>
        <v>0</v>
      </c>
      <c r="N26" s="7">
        <v>0</v>
      </c>
    </row>
    <row r="27" spans="1:14" x14ac:dyDescent="0.2">
      <c r="A27" s="8" t="s">
        <v>18</v>
      </c>
      <c r="B27" s="9">
        <v>839.82976074137764</v>
      </c>
      <c r="C27" s="10">
        <v>1</v>
      </c>
      <c r="D27" s="9">
        <v>3.1543033455886972E-2</v>
      </c>
      <c r="E27" s="9">
        <v>1</v>
      </c>
      <c r="F27" s="9">
        <v>6.25</v>
      </c>
      <c r="G27" s="9">
        <f>0.000063090196*F27*3600</f>
        <v>1.41952941</v>
      </c>
      <c r="H27" s="9">
        <f>G27*B27/3600</f>
        <v>0.33115640132379137</v>
      </c>
      <c r="I27" s="9">
        <v>3450</v>
      </c>
      <c r="J27" s="9">
        <v>1.6531499999999999</v>
      </c>
      <c r="K27" s="9">
        <v>34.5047</v>
      </c>
      <c r="L27" s="9">
        <v>597.25400000000002</v>
      </c>
      <c r="M27" s="9">
        <f t="shared" si="0"/>
        <v>112.0934968742264</v>
      </c>
      <c r="N27" s="11">
        <v>0.18768099999999999</v>
      </c>
    </row>
    <row r="28" spans="1:14" x14ac:dyDescent="0.2">
      <c r="A28" s="8" t="s">
        <v>18</v>
      </c>
      <c r="B28" s="9">
        <v>839.82976074137764</v>
      </c>
      <c r="C28" s="10">
        <v>1</v>
      </c>
      <c r="D28" s="9">
        <v>3.1543033455886972E-2</v>
      </c>
      <c r="E28" s="9">
        <v>1</v>
      </c>
      <c r="F28" s="9">
        <f>AVERAGE($F$2:$F$7)</f>
        <v>12.5</v>
      </c>
      <c r="G28" s="9">
        <f t="shared" si="1"/>
        <v>2.83905882</v>
      </c>
      <c r="H28" s="9">
        <f t="shared" si="2"/>
        <v>0.66231280264758274</v>
      </c>
      <c r="I28" s="9">
        <v>3450</v>
      </c>
      <c r="J28" s="9">
        <v>1.87535771543595</v>
      </c>
      <c r="K28" s="9">
        <v>31.114229999999999</v>
      </c>
      <c r="L28" s="9">
        <v>677.53520000000003</v>
      </c>
      <c r="M28" s="9">
        <f t="shared" si="0"/>
        <v>202.15813168924589</v>
      </c>
      <c r="N28" s="11">
        <v>0.2983729</v>
      </c>
    </row>
    <row r="29" spans="1:14" x14ac:dyDescent="0.2">
      <c r="A29" s="8" t="s">
        <v>18</v>
      </c>
      <c r="B29" s="9">
        <v>839.82976074137764</v>
      </c>
      <c r="C29" s="10">
        <v>1</v>
      </c>
      <c r="D29" s="9">
        <v>3.1543033455886972E-2</v>
      </c>
      <c r="E29" s="9">
        <v>1</v>
      </c>
      <c r="F29" s="9">
        <v>18.75</v>
      </c>
      <c r="G29" s="9">
        <f>0.000063090196*F29*3600</f>
        <v>4.25858823</v>
      </c>
      <c r="H29" s="9">
        <f>G29*B29/3600</f>
        <v>0.99346920397137406</v>
      </c>
      <c r="I29" s="9">
        <v>3450</v>
      </c>
      <c r="J29" s="16">
        <v>2.0658599999999998</v>
      </c>
      <c r="K29" s="17">
        <v>25.2592</v>
      </c>
      <c r="L29" s="17">
        <v>746.36099999999999</v>
      </c>
      <c r="M29" s="9">
        <f>B29*9.81*G29/3600*K29</f>
        <v>246.17446807931617</v>
      </c>
      <c r="N29" s="18">
        <v>0.32983200000000001</v>
      </c>
    </row>
    <row r="30" spans="1:14" x14ac:dyDescent="0.2">
      <c r="A30" s="8" t="s">
        <v>18</v>
      </c>
      <c r="B30" s="9">
        <v>839.82976074137764</v>
      </c>
      <c r="C30" s="10">
        <v>1</v>
      </c>
      <c r="D30" s="9">
        <v>3.1543033455886972E-2</v>
      </c>
      <c r="E30" s="9">
        <v>1</v>
      </c>
      <c r="F30" s="9">
        <f>25</f>
        <v>25</v>
      </c>
      <c r="G30" s="9">
        <f t="shared" si="1"/>
        <v>5.67811764</v>
      </c>
      <c r="H30" s="9">
        <f t="shared" si="2"/>
        <v>1.3246256052951655</v>
      </c>
      <c r="I30" s="9">
        <v>3450</v>
      </c>
      <c r="J30" s="9">
        <v>2.1873124165895699</v>
      </c>
      <c r="K30" s="9">
        <v>16.799199999999999</v>
      </c>
      <c r="L30" s="9">
        <v>790.23910000000001</v>
      </c>
      <c r="M30" s="9">
        <f t="shared" si="0"/>
        <v>218.29850109573528</v>
      </c>
      <c r="N30" s="11">
        <v>0.27624359999999998</v>
      </c>
    </row>
    <row r="31" spans="1:14" x14ac:dyDescent="0.2">
      <c r="A31" s="4" t="s">
        <v>19</v>
      </c>
      <c r="B31" s="5">
        <v>933.9215973391257</v>
      </c>
      <c r="C31" s="6">
        <v>1</v>
      </c>
      <c r="D31" s="5">
        <v>3.030035090738576E-2</v>
      </c>
      <c r="E31" s="5">
        <v>1</v>
      </c>
      <c r="F31" s="5">
        <v>0</v>
      </c>
      <c r="G31" s="5">
        <f t="shared" si="1"/>
        <v>0</v>
      </c>
      <c r="H31" s="5">
        <f t="shared" si="2"/>
        <v>0</v>
      </c>
      <c r="I31" s="5">
        <v>3450</v>
      </c>
      <c r="J31" s="5">
        <v>1.62462074431193</v>
      </c>
      <c r="K31" s="5">
        <v>37.730060000000002</v>
      </c>
      <c r="L31" s="5">
        <v>586.94809999999995</v>
      </c>
      <c r="M31" s="5">
        <f t="shared" si="0"/>
        <v>0</v>
      </c>
      <c r="N31" s="7">
        <v>0</v>
      </c>
    </row>
    <row r="32" spans="1:14" x14ac:dyDescent="0.2">
      <c r="A32" s="8" t="s">
        <v>19</v>
      </c>
      <c r="B32" s="9">
        <v>933.9215973391257</v>
      </c>
      <c r="C32" s="10">
        <v>1</v>
      </c>
      <c r="D32" s="9">
        <v>3.030035090738576E-2</v>
      </c>
      <c r="E32" s="9">
        <v>1</v>
      </c>
      <c r="F32" s="9">
        <v>6.25</v>
      </c>
      <c r="G32" s="9">
        <f t="shared" si="1"/>
        <v>1.41952941</v>
      </c>
      <c r="H32" s="9">
        <f t="shared" si="2"/>
        <v>0.36825810390474079</v>
      </c>
      <c r="I32" s="9">
        <v>3450</v>
      </c>
      <c r="J32" s="9">
        <v>1.8163400000000001</v>
      </c>
      <c r="K32" s="9">
        <v>35.1389</v>
      </c>
      <c r="L32" s="9">
        <v>656.21400000000006</v>
      </c>
      <c r="M32" s="9">
        <f t="shared" si="0"/>
        <v>126.94321178239628</v>
      </c>
      <c r="N32" s="11">
        <v>0.19344800000000001</v>
      </c>
    </row>
    <row r="33" spans="1:14" x14ac:dyDescent="0.2">
      <c r="A33" s="8" t="s">
        <v>19</v>
      </c>
      <c r="B33" s="9">
        <v>933.9215973391257</v>
      </c>
      <c r="C33" s="10">
        <v>1</v>
      </c>
      <c r="D33" s="9">
        <v>3.030035090738576E-2</v>
      </c>
      <c r="E33" s="9">
        <v>1</v>
      </c>
      <c r="F33" s="9">
        <v>12.5</v>
      </c>
      <c r="G33" s="9">
        <f t="shared" si="1"/>
        <v>2.83905882</v>
      </c>
      <c r="H33" s="9">
        <f t="shared" si="2"/>
        <v>0.73651620780948157</v>
      </c>
      <c r="I33" s="9">
        <v>3450</v>
      </c>
      <c r="J33" s="9">
        <v>2.0516150641372999</v>
      </c>
      <c r="K33" s="9">
        <v>31.848510000000001</v>
      </c>
      <c r="L33" s="9">
        <v>741.21400000000006</v>
      </c>
      <c r="M33" s="9">
        <f t="shared" si="0"/>
        <v>230.11261877200286</v>
      </c>
      <c r="N33" s="11">
        <v>0.3104537</v>
      </c>
    </row>
    <row r="34" spans="1:14" x14ac:dyDescent="0.2">
      <c r="A34" s="8" t="s">
        <v>19</v>
      </c>
      <c r="B34" s="9">
        <v>933.9215973391257</v>
      </c>
      <c r="C34" s="10">
        <v>1</v>
      </c>
      <c r="D34" s="9">
        <v>3.030035090738576E-2</v>
      </c>
      <c r="E34" s="9">
        <v>1</v>
      </c>
      <c r="F34" s="9">
        <v>18.75</v>
      </c>
      <c r="G34" s="9">
        <f t="shared" si="1"/>
        <v>4.25858823</v>
      </c>
      <c r="H34" s="9">
        <f t="shared" si="2"/>
        <v>1.1047743117142221</v>
      </c>
      <c r="I34" s="9">
        <v>3450</v>
      </c>
      <c r="J34" s="9">
        <v>2.2604600000000001</v>
      </c>
      <c r="K34" s="9">
        <v>25.899000000000001</v>
      </c>
      <c r="L34" s="9">
        <v>816.66700000000003</v>
      </c>
      <c r="M34" s="9">
        <f t="shared" si="0"/>
        <v>280.68911451003993</v>
      </c>
      <c r="N34" s="11">
        <v>0.34370099999999998</v>
      </c>
    </row>
    <row r="35" spans="1:14" x14ac:dyDescent="0.2">
      <c r="A35" s="12" t="s">
        <v>19</v>
      </c>
      <c r="B35" s="13">
        <v>933.9215973391257</v>
      </c>
      <c r="C35" s="14">
        <v>1</v>
      </c>
      <c r="D35" s="13">
        <v>3.030035090738576E-2</v>
      </c>
      <c r="E35" s="13">
        <v>1</v>
      </c>
      <c r="F35" s="13">
        <v>25</v>
      </c>
      <c r="G35" s="13">
        <f t="shared" si="1"/>
        <v>5.67811764</v>
      </c>
      <c r="H35" s="13">
        <f t="shared" si="2"/>
        <v>1.4730324156189631</v>
      </c>
      <c r="I35" s="13">
        <v>3450</v>
      </c>
      <c r="J35" s="13">
        <v>2.3942731131436701</v>
      </c>
      <c r="K35" s="13">
        <v>17.799659999999999</v>
      </c>
      <c r="L35" s="13">
        <v>865.01049999999998</v>
      </c>
      <c r="M35" s="13">
        <f t="shared" si="0"/>
        <v>257.21306119823305</v>
      </c>
      <c r="N35" s="15">
        <v>0.29735250000000002</v>
      </c>
    </row>
    <row r="36" spans="1:14" x14ac:dyDescent="0.2">
      <c r="A36" s="8" t="s">
        <v>20</v>
      </c>
      <c r="B36" s="9">
        <v>860.87741174247287</v>
      </c>
      <c r="C36" s="10">
        <v>1</v>
      </c>
      <c r="D36" s="9">
        <v>3.8046395686508028E-2</v>
      </c>
      <c r="E36" s="9">
        <v>1</v>
      </c>
      <c r="F36" s="9">
        <v>0</v>
      </c>
      <c r="G36" s="9">
        <f t="shared" si="1"/>
        <v>0</v>
      </c>
      <c r="H36" s="9">
        <f t="shared" si="2"/>
        <v>0</v>
      </c>
      <c r="I36" s="9">
        <v>3450</v>
      </c>
      <c r="J36" s="9">
        <v>1.56520923202185</v>
      </c>
      <c r="K36" s="9">
        <v>37.087730000000001</v>
      </c>
      <c r="L36" s="9">
        <v>565.4837</v>
      </c>
      <c r="M36" s="9">
        <f t="shared" si="0"/>
        <v>0</v>
      </c>
      <c r="N36" s="11">
        <v>0</v>
      </c>
    </row>
    <row r="37" spans="1:14" x14ac:dyDescent="0.2">
      <c r="A37" s="8" t="s">
        <v>20</v>
      </c>
      <c r="B37" s="9">
        <v>860.87741174247287</v>
      </c>
      <c r="C37" s="10">
        <v>1</v>
      </c>
      <c r="D37" s="9">
        <v>3.8046395686508028E-2</v>
      </c>
      <c r="E37" s="9">
        <v>1</v>
      </c>
      <c r="F37" s="9">
        <v>6.25</v>
      </c>
      <c r="G37" s="9">
        <f t="shared" si="1"/>
        <v>1.41952941</v>
      </c>
      <c r="H37" s="9">
        <f t="shared" si="2"/>
        <v>0.33945577899253321</v>
      </c>
      <c r="I37" s="9">
        <v>3450</v>
      </c>
      <c r="J37" s="9">
        <v>1.73095</v>
      </c>
      <c r="K37" s="9">
        <v>33.9223</v>
      </c>
      <c r="L37" s="9">
        <v>625.36300000000006</v>
      </c>
      <c r="M37" s="9">
        <f t="shared" si="0"/>
        <v>112.96333477055761</v>
      </c>
      <c r="N37" s="11">
        <v>0.18063599999999999</v>
      </c>
    </row>
    <row r="38" spans="1:14" x14ac:dyDescent="0.2">
      <c r="A38" s="8" t="s">
        <v>20</v>
      </c>
      <c r="B38" s="9">
        <v>860.87741174247287</v>
      </c>
      <c r="C38" s="10">
        <v>1</v>
      </c>
      <c r="D38" s="9">
        <v>3.8046395686508028E-2</v>
      </c>
      <c r="E38" s="9">
        <v>1</v>
      </c>
      <c r="F38" s="9">
        <v>12.5</v>
      </c>
      <c r="G38" s="9">
        <f t="shared" si="1"/>
        <v>2.83905882</v>
      </c>
      <c r="H38" s="9">
        <f t="shared" si="2"/>
        <v>0.67891155798506642</v>
      </c>
      <c r="I38" s="9">
        <v>3450</v>
      </c>
      <c r="J38" s="9">
        <v>1.96362009585622</v>
      </c>
      <c r="K38" s="9">
        <v>30.370239999999999</v>
      </c>
      <c r="L38" s="9">
        <v>709.42290000000003</v>
      </c>
      <c r="M38" s="9">
        <f t="shared" si="0"/>
        <v>202.26951522639558</v>
      </c>
      <c r="N38" s="11">
        <v>0.28511839999999999</v>
      </c>
    </row>
    <row r="39" spans="1:14" x14ac:dyDescent="0.2">
      <c r="A39" s="19" t="s">
        <v>20</v>
      </c>
      <c r="B39" s="9">
        <v>860.87741174247287</v>
      </c>
      <c r="C39" s="20">
        <v>1</v>
      </c>
      <c r="D39" s="20">
        <v>3.7999999999999999E-2</v>
      </c>
      <c r="E39" s="20">
        <v>1</v>
      </c>
      <c r="F39" s="9">
        <v>18.75</v>
      </c>
      <c r="G39" s="9">
        <f t="shared" si="1"/>
        <v>4.25858823</v>
      </c>
      <c r="H39" s="9">
        <f t="shared" si="2"/>
        <v>1.0183673369775996</v>
      </c>
      <c r="I39" s="9">
        <v>3450</v>
      </c>
      <c r="J39" s="9">
        <v>2.1619600000000001</v>
      </c>
      <c r="K39" s="9">
        <v>24.3643</v>
      </c>
      <c r="L39" s="9">
        <v>781.08100000000002</v>
      </c>
      <c r="M39" s="9">
        <f t="shared" si="0"/>
        <v>243.40382969465188</v>
      </c>
      <c r="N39" s="11">
        <v>0.31162400000000001</v>
      </c>
    </row>
    <row r="40" spans="1:14" x14ac:dyDescent="0.2">
      <c r="A40" s="12" t="s">
        <v>20</v>
      </c>
      <c r="B40" s="13">
        <v>860.87741174247287</v>
      </c>
      <c r="C40" s="14">
        <v>1</v>
      </c>
      <c r="D40" s="13">
        <v>3.8046395686508028E-2</v>
      </c>
      <c r="E40" s="13">
        <v>1</v>
      </c>
      <c r="F40" s="13">
        <v>25</v>
      </c>
      <c r="G40" s="13">
        <f t="shared" si="1"/>
        <v>5.67811764</v>
      </c>
      <c r="H40" s="13">
        <f t="shared" si="2"/>
        <v>1.3578231159701328</v>
      </c>
      <c r="I40" s="13">
        <v>3450</v>
      </c>
      <c r="J40" s="13">
        <v>2.2884465677105501</v>
      </c>
      <c r="K40" s="13">
        <v>15.78261</v>
      </c>
      <c r="L40" s="13">
        <v>826.77719999999999</v>
      </c>
      <c r="M40" s="13">
        <f t="shared" si="0"/>
        <v>210.22822827262894</v>
      </c>
      <c r="N40" s="15">
        <v>0.25427440000000001</v>
      </c>
    </row>
    <row r="41" spans="1:14" x14ac:dyDescent="0.2">
      <c r="A41" s="8" t="s">
        <v>21</v>
      </c>
      <c r="B41" s="9">
        <v>885.29849877618472</v>
      </c>
      <c r="C41" s="10">
        <v>1</v>
      </c>
      <c r="D41" s="9">
        <v>4.1453076179563612E-2</v>
      </c>
      <c r="E41" s="9">
        <v>1</v>
      </c>
      <c r="F41" s="9">
        <v>0</v>
      </c>
      <c r="G41" s="9">
        <f t="shared" si="1"/>
        <v>0</v>
      </c>
      <c r="H41" s="9">
        <f t="shared" si="2"/>
        <v>0</v>
      </c>
      <c r="I41" s="9">
        <v>3450</v>
      </c>
      <c r="J41" s="9">
        <v>1.6235832044838501</v>
      </c>
      <c r="K41" s="9">
        <v>36.936999999999998</v>
      </c>
      <c r="L41" s="9">
        <v>586.57330000000002</v>
      </c>
      <c r="M41" s="9">
        <f t="shared" si="0"/>
        <v>0</v>
      </c>
      <c r="N41" s="11">
        <v>0</v>
      </c>
    </row>
    <row r="42" spans="1:14" x14ac:dyDescent="0.2">
      <c r="A42" s="8" t="s">
        <v>21</v>
      </c>
      <c r="B42" s="9">
        <v>885.29849877618472</v>
      </c>
      <c r="C42" s="10">
        <v>1</v>
      </c>
      <c r="D42" s="9">
        <v>4.1453076179563612E-2</v>
      </c>
      <c r="E42" s="9">
        <v>1</v>
      </c>
      <c r="F42" s="9">
        <v>6.25</v>
      </c>
      <c r="G42" s="9">
        <f t="shared" si="1"/>
        <v>1.41952941</v>
      </c>
      <c r="H42" s="9">
        <f t="shared" si="2"/>
        <v>0.34908534878934538</v>
      </c>
      <c r="I42" s="9">
        <v>3450</v>
      </c>
      <c r="J42" s="9">
        <v>1.80427</v>
      </c>
      <c r="K42" s="9">
        <v>34.021299999999997</v>
      </c>
      <c r="L42" s="9">
        <v>651.851</v>
      </c>
      <c r="M42" s="9">
        <f t="shared" si="0"/>
        <v>116.5068696660838</v>
      </c>
      <c r="N42" s="11">
        <v>0.178732</v>
      </c>
    </row>
    <row r="43" spans="1:14" x14ac:dyDescent="0.2">
      <c r="A43" s="8" t="s">
        <v>21</v>
      </c>
      <c r="B43" s="9">
        <v>885.29849877618472</v>
      </c>
      <c r="C43" s="10">
        <v>1</v>
      </c>
      <c r="D43" s="9">
        <v>4.1453076179563612E-2</v>
      </c>
      <c r="E43" s="9">
        <v>1</v>
      </c>
      <c r="F43" s="9">
        <v>12.5</v>
      </c>
      <c r="G43" s="9">
        <f t="shared" si="1"/>
        <v>2.83905882</v>
      </c>
      <c r="H43" s="9">
        <f t="shared" si="2"/>
        <v>0.69817069757869077</v>
      </c>
      <c r="I43" s="9">
        <v>3450</v>
      </c>
      <c r="J43" s="9">
        <v>2.0346274590885498</v>
      </c>
      <c r="K43" s="9">
        <v>30.133009999999999</v>
      </c>
      <c r="L43" s="9">
        <v>735.07659999999998</v>
      </c>
      <c r="M43" s="9">
        <f t="shared" si="0"/>
        <v>206.38262904220591</v>
      </c>
      <c r="N43" s="11">
        <v>0.2807635</v>
      </c>
    </row>
    <row r="44" spans="1:14" x14ac:dyDescent="0.2">
      <c r="A44" s="8" t="s">
        <v>21</v>
      </c>
      <c r="B44" s="9">
        <v>885.29849877618472</v>
      </c>
      <c r="C44" s="10">
        <v>1</v>
      </c>
      <c r="D44" s="9">
        <v>4.1453076179563612E-2</v>
      </c>
      <c r="E44" s="9">
        <v>1</v>
      </c>
      <c r="F44" s="9">
        <v>18.75</v>
      </c>
      <c r="G44" s="9">
        <f t="shared" si="1"/>
        <v>4.25858823</v>
      </c>
      <c r="H44" s="9">
        <f t="shared" si="2"/>
        <v>1.047256046368036</v>
      </c>
      <c r="I44" s="9">
        <v>3450</v>
      </c>
      <c r="J44" s="9">
        <v>2.2419899999999999</v>
      </c>
      <c r="K44" s="9">
        <v>23.979500000000002</v>
      </c>
      <c r="L44" s="9">
        <v>809.995</v>
      </c>
      <c r="M44" s="9">
        <f t="shared" si="0"/>
        <v>246.35535512968556</v>
      </c>
      <c r="N44" s="11">
        <v>0.304145</v>
      </c>
    </row>
    <row r="45" spans="1:14" x14ac:dyDescent="0.2">
      <c r="A45" s="12" t="s">
        <v>21</v>
      </c>
      <c r="B45" s="13">
        <v>885.29849877618472</v>
      </c>
      <c r="C45" s="14">
        <v>1</v>
      </c>
      <c r="D45" s="13">
        <v>4.1453076179563612E-2</v>
      </c>
      <c r="E45" s="13">
        <v>1</v>
      </c>
      <c r="F45" s="13">
        <v>25</v>
      </c>
      <c r="G45" s="13">
        <f t="shared" si="1"/>
        <v>5.67811764</v>
      </c>
      <c r="H45" s="13">
        <f t="shared" si="2"/>
        <v>1.3963413951573815</v>
      </c>
      <c r="I45" s="13">
        <v>3450</v>
      </c>
      <c r="J45" s="13">
        <v>2.3818704901409</v>
      </c>
      <c r="K45" s="13">
        <v>15.28828</v>
      </c>
      <c r="L45" s="13">
        <v>860.52970000000005</v>
      </c>
      <c r="M45" s="13">
        <f t="shared" si="0"/>
        <v>209.42052718486312</v>
      </c>
      <c r="N45" s="15">
        <v>0.2433623</v>
      </c>
    </row>
    <row r="46" spans="1:14" x14ac:dyDescent="0.2">
      <c r="A46" s="8" t="s">
        <v>22</v>
      </c>
      <c r="B46" s="9">
        <v>888.56196631957539</v>
      </c>
      <c r="C46" s="10">
        <v>1</v>
      </c>
      <c r="D46" s="9">
        <v>4.5679652120316203E-2</v>
      </c>
      <c r="E46" s="9">
        <v>1</v>
      </c>
      <c r="F46" s="9">
        <v>0</v>
      </c>
      <c r="G46" s="9">
        <f t="shared" si="1"/>
        <v>0</v>
      </c>
      <c r="H46" s="9">
        <f t="shared" si="2"/>
        <v>0</v>
      </c>
      <c r="I46" s="9">
        <v>3450</v>
      </c>
      <c r="J46" s="9">
        <v>1.6559323692751899</v>
      </c>
      <c r="K46" s="9">
        <v>36.684370000000001</v>
      </c>
      <c r="L46" s="9">
        <v>598.26049999999998</v>
      </c>
      <c r="M46" s="9">
        <f t="shared" si="0"/>
        <v>0</v>
      </c>
      <c r="N46" s="11">
        <v>0</v>
      </c>
    </row>
    <row r="47" spans="1:14" x14ac:dyDescent="0.2">
      <c r="A47" s="8" t="s">
        <v>22</v>
      </c>
      <c r="B47" s="9">
        <v>888.56196631957539</v>
      </c>
      <c r="C47" s="10">
        <v>1</v>
      </c>
      <c r="D47" s="9">
        <v>4.5679652120316203E-2</v>
      </c>
      <c r="E47" s="9">
        <v>1</v>
      </c>
      <c r="F47" s="9">
        <v>6.25</v>
      </c>
      <c r="G47" s="9">
        <f t="shared" si="1"/>
        <v>1.41952941</v>
      </c>
      <c r="H47" s="9">
        <f t="shared" si="2"/>
        <v>0.35037217883279631</v>
      </c>
      <c r="I47" s="9">
        <v>3450</v>
      </c>
      <c r="J47" s="9">
        <v>1.83548</v>
      </c>
      <c r="K47" s="9">
        <v>33.5901</v>
      </c>
      <c r="L47" s="9">
        <v>663.12800000000004</v>
      </c>
      <c r="M47" s="9">
        <f t="shared" si="0"/>
        <v>115.45424830251494</v>
      </c>
      <c r="N47" s="11">
        <v>0.17410600000000001</v>
      </c>
    </row>
    <row r="48" spans="1:14" x14ac:dyDescent="0.2">
      <c r="A48" s="8" t="s">
        <v>22</v>
      </c>
      <c r="B48" s="9">
        <v>888.56196631957539</v>
      </c>
      <c r="C48" s="10">
        <v>1</v>
      </c>
      <c r="D48" s="9">
        <v>4.5679652120316203E-2</v>
      </c>
      <c r="E48" s="9">
        <v>1</v>
      </c>
      <c r="F48" s="9">
        <v>12.5</v>
      </c>
      <c r="G48" s="9">
        <f t="shared" si="1"/>
        <v>2.83905882</v>
      </c>
      <c r="H48" s="9">
        <f t="shared" si="2"/>
        <v>0.70074435766559262</v>
      </c>
      <c r="I48" s="9">
        <v>3450</v>
      </c>
      <c r="J48" s="9">
        <v>2.0717730358505602</v>
      </c>
      <c r="K48" s="9">
        <v>29.67493</v>
      </c>
      <c r="L48" s="9">
        <v>748.49670000000003</v>
      </c>
      <c r="M48" s="9">
        <f t="shared" si="0"/>
        <v>203.99443506150621</v>
      </c>
      <c r="N48" s="11">
        <v>0.27253889999999997</v>
      </c>
    </row>
    <row r="49" spans="1:14" x14ac:dyDescent="0.2">
      <c r="A49" s="8" t="s">
        <v>22</v>
      </c>
      <c r="B49" s="9">
        <v>888.56196631957539</v>
      </c>
      <c r="C49" s="10">
        <v>1</v>
      </c>
      <c r="D49" s="9">
        <v>4.5679652120316203E-2</v>
      </c>
      <c r="E49" s="9">
        <v>1</v>
      </c>
      <c r="F49" s="9">
        <v>18.75</v>
      </c>
      <c r="G49" s="9">
        <f t="shared" si="1"/>
        <v>4.25858823</v>
      </c>
      <c r="H49" s="9">
        <f t="shared" si="2"/>
        <v>1.0511165364983888</v>
      </c>
      <c r="I49" s="9">
        <v>3450</v>
      </c>
      <c r="J49" s="9">
        <v>2.28078</v>
      </c>
      <c r="K49" s="9">
        <v>23.4955</v>
      </c>
      <c r="L49" s="9">
        <v>824.00699999999995</v>
      </c>
      <c r="M49" s="9">
        <f t="shared" si="0"/>
        <v>242.2727492021524</v>
      </c>
      <c r="N49" s="11">
        <v>0.294018</v>
      </c>
    </row>
    <row r="50" spans="1:14" x14ac:dyDescent="0.2">
      <c r="A50" s="12" t="s">
        <v>22</v>
      </c>
      <c r="B50" s="13">
        <v>888.56196631957539</v>
      </c>
      <c r="C50" s="14">
        <v>1</v>
      </c>
      <c r="D50" s="13">
        <v>4.5679652120316203E-2</v>
      </c>
      <c r="E50" s="13">
        <v>1</v>
      </c>
      <c r="F50" s="13">
        <v>25</v>
      </c>
      <c r="G50" s="13">
        <f t="shared" si="1"/>
        <v>5.67811764</v>
      </c>
      <c r="H50" s="13">
        <f t="shared" si="2"/>
        <v>1.4014887153311852</v>
      </c>
      <c r="I50" s="13">
        <v>3450</v>
      </c>
      <c r="J50" s="13">
        <v>2.4108638993473601</v>
      </c>
      <c r="K50" s="13">
        <v>14.728149999999999</v>
      </c>
      <c r="L50" s="13">
        <v>871.00450000000001</v>
      </c>
      <c r="M50" s="13">
        <f t="shared" si="0"/>
        <v>202.49150638273602</v>
      </c>
      <c r="N50" s="15">
        <v>0.2324804</v>
      </c>
    </row>
    <row r="51" spans="1:14" x14ac:dyDescent="0.2">
      <c r="A51" s="8" t="s">
        <v>23</v>
      </c>
      <c r="B51" s="9">
        <v>961.38082254656194</v>
      </c>
      <c r="C51" s="10">
        <v>1</v>
      </c>
      <c r="D51" s="9">
        <v>1.875592270130795E-2</v>
      </c>
      <c r="E51" s="9">
        <v>1</v>
      </c>
      <c r="F51" s="9">
        <v>0</v>
      </c>
      <c r="G51" s="9">
        <f t="shared" si="1"/>
        <v>0</v>
      </c>
      <c r="H51" s="9">
        <f t="shared" si="2"/>
        <v>0</v>
      </c>
      <c r="I51" s="9">
        <v>3450</v>
      </c>
      <c r="J51" s="9">
        <v>1.5487934238799299</v>
      </c>
      <c r="K51" s="9">
        <v>38.071010000000001</v>
      </c>
      <c r="L51" s="9">
        <v>559.553</v>
      </c>
      <c r="M51" s="9">
        <f t="shared" si="0"/>
        <v>0</v>
      </c>
      <c r="N51" s="11">
        <v>0</v>
      </c>
    </row>
    <row r="52" spans="1:14" x14ac:dyDescent="0.2">
      <c r="A52" s="8" t="s">
        <v>23</v>
      </c>
      <c r="B52" s="9">
        <v>961.38082254656194</v>
      </c>
      <c r="C52" s="10">
        <v>1</v>
      </c>
      <c r="D52" s="9">
        <v>1.875592270130795E-2</v>
      </c>
      <c r="E52" s="9">
        <v>1</v>
      </c>
      <c r="F52" s="9">
        <v>6.25</v>
      </c>
      <c r="G52" s="9">
        <f t="shared" si="1"/>
        <v>1.41952941</v>
      </c>
      <c r="H52" s="9">
        <f t="shared" si="2"/>
        <v>0.37908565328189886</v>
      </c>
      <c r="I52" s="9">
        <v>3450</v>
      </c>
      <c r="J52" s="9">
        <v>1.78176</v>
      </c>
      <c r="K52" s="9">
        <v>36.281599999999997</v>
      </c>
      <c r="L52" s="9">
        <v>643.72</v>
      </c>
      <c r="M52" s="9">
        <f t="shared" si="0"/>
        <v>134.925111913884</v>
      </c>
      <c r="N52" s="11">
        <v>0.20960200000000001</v>
      </c>
    </row>
    <row r="53" spans="1:14" x14ac:dyDescent="0.2">
      <c r="A53" s="8" t="s">
        <v>23</v>
      </c>
      <c r="B53" s="9">
        <v>961.38082254656194</v>
      </c>
      <c r="C53" s="10">
        <v>1</v>
      </c>
      <c r="D53" s="9">
        <v>1.875592270130795E-2</v>
      </c>
      <c r="E53" s="9">
        <v>1</v>
      </c>
      <c r="F53" s="9">
        <v>12.5</v>
      </c>
      <c r="G53" s="9">
        <f t="shared" si="1"/>
        <v>2.83905882</v>
      </c>
      <c r="H53" s="9">
        <f t="shared" si="2"/>
        <v>0.75817130656379772</v>
      </c>
      <c r="I53" s="9">
        <v>3450</v>
      </c>
      <c r="J53" s="9">
        <v>2.0194106497544801</v>
      </c>
      <c r="K53" s="9">
        <v>32.957250000000002</v>
      </c>
      <c r="L53" s="9">
        <v>729.57910000000004</v>
      </c>
      <c r="M53" s="9">
        <f t="shared" si="0"/>
        <v>245.12483708677976</v>
      </c>
      <c r="N53" s="11">
        <v>0.33598119999999998</v>
      </c>
    </row>
    <row r="54" spans="1:14" x14ac:dyDescent="0.2">
      <c r="A54" s="8" t="s">
        <v>23</v>
      </c>
      <c r="B54" s="9">
        <v>961.38082254656194</v>
      </c>
      <c r="C54" s="10">
        <v>1</v>
      </c>
      <c r="D54" s="9">
        <v>1.875592270130795E-2</v>
      </c>
      <c r="E54" s="9">
        <v>1</v>
      </c>
      <c r="F54" s="9">
        <v>18.75</v>
      </c>
      <c r="G54" s="9">
        <f t="shared" si="1"/>
        <v>4.25858823</v>
      </c>
      <c r="H54" s="9">
        <f t="shared" si="2"/>
        <v>1.1372569598456965</v>
      </c>
      <c r="I54" s="9">
        <v>3450</v>
      </c>
      <c r="J54" s="9">
        <v>2.2248899999999998</v>
      </c>
      <c r="K54" s="9">
        <v>27.8264</v>
      </c>
      <c r="L54" s="9">
        <v>803.81500000000005</v>
      </c>
      <c r="M54" s="9">
        <f t="shared" si="0"/>
        <v>310.44497493168734</v>
      </c>
      <c r="N54" s="11">
        <v>0.386214</v>
      </c>
    </row>
    <row r="55" spans="1:14" x14ac:dyDescent="0.2">
      <c r="A55" s="12" t="s">
        <v>23</v>
      </c>
      <c r="B55" s="13">
        <v>961.38082254656194</v>
      </c>
      <c r="C55" s="14">
        <v>1</v>
      </c>
      <c r="D55" s="13">
        <v>1.875592270130795E-2</v>
      </c>
      <c r="E55" s="13">
        <v>1</v>
      </c>
      <c r="F55" s="13">
        <v>25</v>
      </c>
      <c r="G55" s="13">
        <f t="shared" si="1"/>
        <v>5.67811764</v>
      </c>
      <c r="H55" s="13">
        <f t="shared" si="2"/>
        <v>1.5163426131275954</v>
      </c>
      <c r="I55" s="13">
        <v>3450</v>
      </c>
      <c r="J55" s="13">
        <v>2.36202663928524</v>
      </c>
      <c r="K55" s="13">
        <v>20.085730000000002</v>
      </c>
      <c r="L55" s="13">
        <v>853.36040000000003</v>
      </c>
      <c r="M55" s="13">
        <f t="shared" si="0"/>
        <v>298.78168196794604</v>
      </c>
      <c r="N55" s="15">
        <v>0.35012359999999998</v>
      </c>
    </row>
    <row r="56" spans="1:14" x14ac:dyDescent="0.2">
      <c r="A56" s="8" t="s">
        <v>24</v>
      </c>
      <c r="B56" s="9">
        <v>1011.417963191319</v>
      </c>
      <c r="C56" s="9">
        <v>1.45776772926161E-2</v>
      </c>
      <c r="D56" s="9">
        <v>69.065420055865189</v>
      </c>
      <c r="E56" s="9">
        <v>0.34237560521218108</v>
      </c>
      <c r="F56" s="9">
        <f>0</f>
        <v>0</v>
      </c>
      <c r="G56" s="9">
        <f t="shared" si="1"/>
        <v>0</v>
      </c>
      <c r="H56" s="9">
        <f t="shared" si="2"/>
        <v>0</v>
      </c>
      <c r="I56" s="9">
        <v>3450</v>
      </c>
      <c r="J56" s="9">
        <v>2.1862737961708798</v>
      </c>
      <c r="K56" s="9">
        <v>29.74137</v>
      </c>
      <c r="L56" s="9">
        <v>789.86389999999994</v>
      </c>
      <c r="M56" s="9">
        <f t="shared" si="0"/>
        <v>0</v>
      </c>
      <c r="N56" s="11">
        <v>0</v>
      </c>
    </row>
    <row r="57" spans="1:14" x14ac:dyDescent="0.2">
      <c r="A57" s="8" t="s">
        <v>24</v>
      </c>
      <c r="B57" s="9">
        <v>1011.417963191319</v>
      </c>
      <c r="C57" s="9">
        <v>1.45776772926161E-2</v>
      </c>
      <c r="D57" s="9">
        <v>69.065420055865189</v>
      </c>
      <c r="E57" s="9">
        <v>0.34237560521218108</v>
      </c>
      <c r="F57" s="9">
        <f>AVERAGE($F$2:$F$7)</f>
        <v>12.5</v>
      </c>
      <c r="G57" s="9">
        <f t="shared" si="1"/>
        <v>2.83905882</v>
      </c>
      <c r="H57" s="9">
        <f t="shared" si="2"/>
        <v>0.79763196919576385</v>
      </c>
      <c r="I57" s="9">
        <v>3450</v>
      </c>
      <c r="J57" s="9">
        <v>2.8186485386896498</v>
      </c>
      <c r="K57" s="9">
        <v>16.082850000000001</v>
      </c>
      <c r="L57" s="9">
        <v>1018.33</v>
      </c>
      <c r="M57" s="9">
        <f t="shared" si="0"/>
        <v>125.8445960478027</v>
      </c>
      <c r="N57" s="11">
        <v>0.1235793</v>
      </c>
    </row>
    <row r="58" spans="1:14" x14ac:dyDescent="0.2">
      <c r="A58" s="8" t="s">
        <v>24</v>
      </c>
      <c r="B58" s="9">
        <v>1011.417963191319</v>
      </c>
      <c r="C58" s="9">
        <v>1.45776772926161E-2</v>
      </c>
      <c r="D58" s="9">
        <v>69.065420055865189</v>
      </c>
      <c r="E58" s="9">
        <v>0.34237560521218108</v>
      </c>
      <c r="F58" s="9">
        <f>25</f>
        <v>25</v>
      </c>
      <c r="G58" s="9">
        <f t="shared" si="1"/>
        <v>5.67811764</v>
      </c>
      <c r="H58" s="9">
        <f t="shared" si="2"/>
        <v>1.5952639383915277</v>
      </c>
      <c r="I58" s="9">
        <v>3450</v>
      </c>
      <c r="J58" s="9">
        <v>3.27440993983129</v>
      </c>
      <c r="K58" s="9">
        <v>3.3100540000000001</v>
      </c>
      <c r="L58" s="9">
        <v>1182.989</v>
      </c>
      <c r="M58" s="9">
        <f t="shared" si="0"/>
        <v>51.800819945023861</v>
      </c>
      <c r="N58" s="11">
        <v>4.378808E-2</v>
      </c>
    </row>
    <row r="59" spans="1:14" x14ac:dyDescent="0.2">
      <c r="A59" s="4" t="s">
        <v>25</v>
      </c>
      <c r="B59" s="5">
        <v>1012.394526323029</v>
      </c>
      <c r="C59" s="5">
        <v>1.491992026273661E-2</v>
      </c>
      <c r="D59" s="5">
        <v>35.022311450345882</v>
      </c>
      <c r="E59" s="5">
        <v>0.45069985122357942</v>
      </c>
      <c r="F59" s="5">
        <f>0</f>
        <v>0</v>
      </c>
      <c r="G59" s="5">
        <f t="shared" si="1"/>
        <v>0</v>
      </c>
      <c r="H59" s="5">
        <f t="shared" si="2"/>
        <v>0</v>
      </c>
      <c r="I59" s="5">
        <v>3450</v>
      </c>
      <c r="J59" s="5">
        <v>2.1996659724937602</v>
      </c>
      <c r="K59" s="5">
        <v>30.019079999999999</v>
      </c>
      <c r="L59" s="5">
        <v>794.70230000000004</v>
      </c>
      <c r="M59" s="5">
        <f t="shared" si="0"/>
        <v>0</v>
      </c>
      <c r="N59" s="7">
        <v>0</v>
      </c>
    </row>
    <row r="60" spans="1:14" x14ac:dyDescent="0.2">
      <c r="A60" s="8" t="s">
        <v>25</v>
      </c>
      <c r="B60" s="9">
        <v>1012.394526323029</v>
      </c>
      <c r="C60" s="9">
        <v>1.491992026273661E-2</v>
      </c>
      <c r="D60" s="9">
        <v>35.022311450345882</v>
      </c>
      <c r="E60" s="9">
        <v>0.45069985122357942</v>
      </c>
      <c r="F60" s="9">
        <f>AVERAGE($F$2:$F$7)</f>
        <v>12.5</v>
      </c>
      <c r="G60" s="9">
        <f t="shared" si="1"/>
        <v>2.83905882</v>
      </c>
      <c r="H60" s="9">
        <f t="shared" si="2"/>
        <v>0.79840211368808822</v>
      </c>
      <c r="I60" s="9">
        <v>3450</v>
      </c>
      <c r="J60" s="9">
        <v>2.8219221295686499</v>
      </c>
      <c r="K60" s="9">
        <v>16.74897</v>
      </c>
      <c r="L60" s="9">
        <v>1019.513</v>
      </c>
      <c r="M60" s="9">
        <f t="shared" si="0"/>
        <v>131.18337202146512</v>
      </c>
      <c r="N60" s="11">
        <v>0.1286726</v>
      </c>
    </row>
    <row r="61" spans="1:14" x14ac:dyDescent="0.2">
      <c r="A61" s="12" t="s">
        <v>25</v>
      </c>
      <c r="B61" s="13">
        <v>1012.394526323029</v>
      </c>
      <c r="C61" s="13">
        <v>1.491992026273661E-2</v>
      </c>
      <c r="D61" s="13">
        <v>35.022311450345882</v>
      </c>
      <c r="E61" s="13">
        <v>0.45069985122357942</v>
      </c>
      <c r="F61" s="13">
        <f>25</f>
        <v>25</v>
      </c>
      <c r="G61" s="13">
        <f t="shared" si="1"/>
        <v>5.67811764</v>
      </c>
      <c r="H61" s="13">
        <f t="shared" si="2"/>
        <v>1.5968042273761764</v>
      </c>
      <c r="I61" s="13">
        <v>3450</v>
      </c>
      <c r="J61" s="13">
        <v>3.2735298269023598</v>
      </c>
      <c r="K61" s="13">
        <v>3.4678789999999999</v>
      </c>
      <c r="L61" s="13">
        <v>1182.671</v>
      </c>
      <c r="M61" s="13">
        <f t="shared" si="0"/>
        <v>54.323108941317159</v>
      </c>
      <c r="N61" s="15">
        <v>4.5932559999999997E-2</v>
      </c>
    </row>
    <row r="62" spans="1:14" x14ac:dyDescent="0.2">
      <c r="A62" s="4" t="s">
        <v>26</v>
      </c>
      <c r="B62" s="5">
        <v>1005.2184436849381</v>
      </c>
      <c r="C62" s="5">
        <v>8.7449951724029792E-3</v>
      </c>
      <c r="D62" s="5">
        <v>69.806292885397681</v>
      </c>
      <c r="E62" s="5">
        <v>0.35637902819846551</v>
      </c>
      <c r="F62" s="5">
        <f>0</f>
        <v>0</v>
      </c>
      <c r="G62" s="5">
        <f t="shared" si="1"/>
        <v>0</v>
      </c>
      <c r="H62" s="5">
        <f t="shared" si="2"/>
        <v>0</v>
      </c>
      <c r="I62" s="5">
        <v>3450</v>
      </c>
      <c r="J62" s="5">
        <v>2.2521815260007201</v>
      </c>
      <c r="K62" s="5">
        <v>28.60426</v>
      </c>
      <c r="L62" s="5">
        <v>813.67520000000002</v>
      </c>
      <c r="M62" s="5">
        <f t="shared" si="0"/>
        <v>0</v>
      </c>
      <c r="N62" s="7">
        <v>0</v>
      </c>
    </row>
    <row r="63" spans="1:14" x14ac:dyDescent="0.2">
      <c r="A63" s="8" t="s">
        <v>26</v>
      </c>
      <c r="B63" s="9">
        <v>1005.2184436849381</v>
      </c>
      <c r="C63" s="9">
        <v>8.7449951724029792E-3</v>
      </c>
      <c r="D63" s="9">
        <v>69.806292885397681</v>
      </c>
      <c r="E63" s="9">
        <v>0.35637902819846551</v>
      </c>
      <c r="F63" s="9">
        <f>AVERAGE($F$2:$F$7)</f>
        <v>12.5</v>
      </c>
      <c r="G63" s="9">
        <f t="shared" si="1"/>
        <v>2.83905882</v>
      </c>
      <c r="H63" s="9">
        <f t="shared" si="2"/>
        <v>0.79274285793622135</v>
      </c>
      <c r="I63" s="9">
        <v>3450</v>
      </c>
      <c r="J63" s="9">
        <v>2.8935028044729401</v>
      </c>
      <c r="K63" s="9">
        <v>13.96813</v>
      </c>
      <c r="L63" s="9">
        <v>1045.374</v>
      </c>
      <c r="M63" s="9">
        <f t="shared" si="0"/>
        <v>108.62745725596402</v>
      </c>
      <c r="N63" s="11">
        <v>0.1039125</v>
      </c>
    </row>
    <row r="64" spans="1:14" x14ac:dyDescent="0.2">
      <c r="A64" s="8" t="s">
        <v>26</v>
      </c>
      <c r="B64" s="9">
        <v>1005.2184436849381</v>
      </c>
      <c r="C64" s="9">
        <v>8.7449951724029792E-3</v>
      </c>
      <c r="D64" s="9">
        <v>69.806292885397696</v>
      </c>
      <c r="E64" s="9">
        <v>0.35637902819846601</v>
      </c>
      <c r="F64" s="9">
        <f>25</f>
        <v>25</v>
      </c>
      <c r="G64" s="9">
        <f t="shared" si="1"/>
        <v>5.67811764</v>
      </c>
      <c r="H64" s="9">
        <f t="shared" si="2"/>
        <v>1.5854857158724427</v>
      </c>
      <c r="I64" s="9">
        <v>3450</v>
      </c>
      <c r="J64" s="9">
        <v>3.36493440463483</v>
      </c>
      <c r="K64" s="9">
        <v>1.181548</v>
      </c>
      <c r="L64" s="9">
        <v>1215.694</v>
      </c>
      <c r="M64" s="9">
        <f t="shared" si="0"/>
        <v>18.377342545619172</v>
      </c>
      <c r="N64" s="11">
        <v>1.511674E-2</v>
      </c>
    </row>
    <row r="65" spans="1:14" x14ac:dyDescent="0.2">
      <c r="A65" s="4" t="s">
        <v>27</v>
      </c>
      <c r="B65" s="21">
        <v>707.35487999999998</v>
      </c>
      <c r="C65" s="21">
        <f>1</f>
        <v>1</v>
      </c>
      <c r="D65" s="22">
        <v>3.6000000000000002E-4</v>
      </c>
      <c r="E65" s="21">
        <f>1</f>
        <v>1</v>
      </c>
      <c r="F65" s="5">
        <f>0</f>
        <v>0</v>
      </c>
      <c r="G65" s="5">
        <f t="shared" si="1"/>
        <v>0</v>
      </c>
      <c r="H65" s="5">
        <f t="shared" si="2"/>
        <v>0</v>
      </c>
      <c r="I65" s="5">
        <v>3450</v>
      </c>
      <c r="J65" s="5">
        <v>0.97110003023077296</v>
      </c>
      <c r="K65" s="5">
        <v>42.473739999999999</v>
      </c>
      <c r="L65" s="5">
        <v>350.84210000000002</v>
      </c>
      <c r="M65" s="5">
        <f t="shared" si="0"/>
        <v>0</v>
      </c>
      <c r="N65" s="7">
        <v>0</v>
      </c>
    </row>
    <row r="66" spans="1:14" x14ac:dyDescent="0.2">
      <c r="A66" s="8" t="s">
        <v>27</v>
      </c>
      <c r="B66" s="20">
        <v>707.35487999999998</v>
      </c>
      <c r="C66" s="20">
        <f>1</f>
        <v>1</v>
      </c>
      <c r="D66" s="23">
        <v>3.6000000000000002E-4</v>
      </c>
      <c r="E66" s="20">
        <f>1</f>
        <v>1</v>
      </c>
      <c r="F66" s="9">
        <v>6.25</v>
      </c>
      <c r="G66" s="9">
        <f t="shared" si="1"/>
        <v>1.41952941</v>
      </c>
      <c r="H66" s="9">
        <f>G66*B66/3600</f>
        <v>0.27891973762972799</v>
      </c>
      <c r="I66" s="9">
        <v>3450</v>
      </c>
      <c r="J66" s="9">
        <v>1.0690200000000001</v>
      </c>
      <c r="K66" s="9">
        <v>39.683100000000003</v>
      </c>
      <c r="L66" s="9">
        <v>386.21800000000002</v>
      </c>
      <c r="M66" s="9">
        <f>B66*9.81*G66/3600*K66</f>
        <v>108.58100243367909</v>
      </c>
      <c r="N66" s="11">
        <v>0.28113900000000003</v>
      </c>
    </row>
    <row r="67" spans="1:14" x14ac:dyDescent="0.2">
      <c r="A67" s="8" t="s">
        <v>27</v>
      </c>
      <c r="B67" s="20">
        <v>707.35487999999998</v>
      </c>
      <c r="C67" s="20">
        <f>1</f>
        <v>1</v>
      </c>
      <c r="D67" s="23">
        <v>3.6000000000000002E-4</v>
      </c>
      <c r="E67" s="20">
        <f>1</f>
        <v>1</v>
      </c>
      <c r="F67" s="9">
        <f>AVERAGE($F$2:$F$7)</f>
        <v>12.5</v>
      </c>
      <c r="G67" s="9">
        <f t="shared" si="1"/>
        <v>2.83905882</v>
      </c>
      <c r="H67" s="9">
        <f t="shared" si="2"/>
        <v>0.55783947525945599</v>
      </c>
      <c r="I67" s="9">
        <v>3450</v>
      </c>
      <c r="J67" s="9">
        <v>1.2201959701696901</v>
      </c>
      <c r="K67" s="9">
        <v>36.979709999999997</v>
      </c>
      <c r="L67" s="9">
        <v>440.83629999999999</v>
      </c>
      <c r="M67" s="9">
        <f t="shared" ref="M67:M130" si="3">B67*9.81*G67/3600*K67</f>
        <v>202.36795923235564</v>
      </c>
      <c r="N67" s="11">
        <v>0.45905469999999998</v>
      </c>
    </row>
    <row r="68" spans="1:14" x14ac:dyDescent="0.2">
      <c r="A68" s="8" t="s">
        <v>27</v>
      </c>
      <c r="B68" s="20">
        <v>708.35487999999998</v>
      </c>
      <c r="C68" s="20">
        <f>1</f>
        <v>1</v>
      </c>
      <c r="D68" s="23">
        <v>3.6000000000000002E-4</v>
      </c>
      <c r="E68" s="20">
        <f>1</f>
        <v>1</v>
      </c>
      <c r="F68" s="9">
        <v>18.75</v>
      </c>
      <c r="G68" s="9">
        <f t="shared" ref="G68:G89" si="4">0.000063090196*F68*3600</f>
        <v>4.25858823</v>
      </c>
      <c r="H68" s="9">
        <f>G68*B68/3600</f>
        <v>0.83794215406418404</v>
      </c>
      <c r="I68" s="9">
        <v>3451</v>
      </c>
      <c r="J68" s="9">
        <v>1.3921699999999999</v>
      </c>
      <c r="K68" s="9">
        <v>33.146500000000003</v>
      </c>
      <c r="L68" s="9">
        <v>502.96600000000001</v>
      </c>
      <c r="M68" s="9">
        <f>B68*9.81*G68/3600*K68</f>
        <v>272.471274671044</v>
      </c>
      <c r="N68" s="11">
        <v>0.54096500000000003</v>
      </c>
    </row>
    <row r="69" spans="1:14" x14ac:dyDescent="0.2">
      <c r="A69" s="12" t="s">
        <v>27</v>
      </c>
      <c r="B69" s="24">
        <v>707.35487999999998</v>
      </c>
      <c r="C69" s="24">
        <f>1</f>
        <v>1</v>
      </c>
      <c r="D69" s="25">
        <v>3.6000000000000002E-4</v>
      </c>
      <c r="E69" s="24">
        <f>1</f>
        <v>1</v>
      </c>
      <c r="F69" s="13">
        <f>25</f>
        <v>25</v>
      </c>
      <c r="G69" s="13">
        <f t="shared" si="4"/>
        <v>5.67811764</v>
      </c>
      <c r="H69" s="13">
        <f t="shared" ref="H69:H132" si="5">G69*B69/3600</f>
        <v>1.115678950518912</v>
      </c>
      <c r="I69" s="13">
        <v>3450</v>
      </c>
      <c r="J69" s="13">
        <v>1.4856927356006699</v>
      </c>
      <c r="K69" s="13">
        <v>27.044720000000002</v>
      </c>
      <c r="L69" s="13">
        <v>536.75580000000002</v>
      </c>
      <c r="M69" s="13">
        <f t="shared" si="3"/>
        <v>295.99933554970949</v>
      </c>
      <c r="N69" s="15">
        <v>0.55146010000000001</v>
      </c>
    </row>
    <row r="70" spans="1:14" x14ac:dyDescent="0.2">
      <c r="A70" s="8" t="s">
        <v>28</v>
      </c>
      <c r="B70" s="20">
        <v>858.24444000000005</v>
      </c>
      <c r="C70" s="20">
        <f>1</f>
        <v>1</v>
      </c>
      <c r="D70" s="20">
        <v>1.0300000000000001E-3</v>
      </c>
      <c r="E70" s="20">
        <f>1</f>
        <v>1</v>
      </c>
      <c r="F70" s="9">
        <v>0</v>
      </c>
      <c r="G70" s="9">
        <f t="shared" si="4"/>
        <v>0</v>
      </c>
      <c r="H70" s="9">
        <f t="shared" si="5"/>
        <v>0</v>
      </c>
      <c r="I70" s="9">
        <v>3450</v>
      </c>
      <c r="J70" s="9">
        <v>1.1817223827163701</v>
      </c>
      <c r="K70" s="9">
        <v>42.75394</v>
      </c>
      <c r="L70" s="9">
        <v>426.93639999999999</v>
      </c>
      <c r="M70" s="9">
        <f t="shared" si="3"/>
        <v>0</v>
      </c>
      <c r="N70" s="11">
        <v>0</v>
      </c>
    </row>
    <row r="71" spans="1:14" x14ac:dyDescent="0.2">
      <c r="A71" s="8" t="s">
        <v>28</v>
      </c>
      <c r="B71" s="20">
        <v>858.24444000000005</v>
      </c>
      <c r="C71" s="20">
        <f>1</f>
        <v>1</v>
      </c>
      <c r="D71" s="20">
        <v>1.0300000000000001E-3</v>
      </c>
      <c r="E71" s="20">
        <f>1</f>
        <v>1</v>
      </c>
      <c r="F71" s="9">
        <v>6.25</v>
      </c>
      <c r="G71" s="9">
        <f t="shared" si="4"/>
        <v>1.41952941</v>
      </c>
      <c r="H71" s="9">
        <f t="shared" si="5"/>
        <v>0.33841756209693902</v>
      </c>
      <c r="I71" s="9">
        <v>3450</v>
      </c>
      <c r="J71" s="9">
        <v>1.3187800000000001</v>
      </c>
      <c r="K71" s="9">
        <v>39.0032</v>
      </c>
      <c r="L71" s="9">
        <v>476.45499999999998</v>
      </c>
      <c r="M71" s="9">
        <f t="shared" si="3"/>
        <v>129.48579868677726</v>
      </c>
      <c r="N71" s="11">
        <v>0.27177000000000001</v>
      </c>
    </row>
    <row r="72" spans="1:14" x14ac:dyDescent="0.2">
      <c r="A72" s="8" t="s">
        <v>28</v>
      </c>
      <c r="B72" s="20">
        <v>858.24444000000005</v>
      </c>
      <c r="C72" s="20">
        <f>1</f>
        <v>1</v>
      </c>
      <c r="D72" s="20">
        <v>1.0300000000000001E-3</v>
      </c>
      <c r="E72" s="20">
        <f>1</f>
        <v>1</v>
      </c>
      <c r="F72" s="9">
        <v>12.5</v>
      </c>
      <c r="G72" s="9">
        <f t="shared" si="4"/>
        <v>2.83905882</v>
      </c>
      <c r="H72" s="9">
        <f t="shared" si="5"/>
        <v>0.67683512419387803</v>
      </c>
      <c r="I72" s="9">
        <v>3450</v>
      </c>
      <c r="J72" s="9">
        <v>1.5260449738066</v>
      </c>
      <c r="K72" s="9">
        <v>36.611780000000003</v>
      </c>
      <c r="L72" s="9">
        <v>551.33429999999998</v>
      </c>
      <c r="M72" s="9">
        <f t="shared" si="3"/>
        <v>243.09316028657022</v>
      </c>
      <c r="N72" s="11">
        <v>0.44091789999999997</v>
      </c>
    </row>
    <row r="73" spans="1:14" x14ac:dyDescent="0.2">
      <c r="A73" s="8" t="s">
        <v>28</v>
      </c>
      <c r="B73" s="20">
        <v>858.24444000000005</v>
      </c>
      <c r="C73" s="20">
        <f>1</f>
        <v>1</v>
      </c>
      <c r="D73" s="20">
        <v>1.0300000000000001E-3</v>
      </c>
      <c r="E73" s="20">
        <f>1</f>
        <v>1</v>
      </c>
      <c r="F73" s="9">
        <v>18.75</v>
      </c>
      <c r="G73" s="9">
        <f t="shared" si="4"/>
        <v>4.25858823</v>
      </c>
      <c r="H73" s="9">
        <f t="shared" si="5"/>
        <v>1.0152526862908171</v>
      </c>
      <c r="I73" s="9">
        <v>3450</v>
      </c>
      <c r="J73" s="9">
        <v>1.7284600000000001</v>
      </c>
      <c r="K73" s="9">
        <v>33.134</v>
      </c>
      <c r="L73" s="9">
        <v>624.46299999999997</v>
      </c>
      <c r="M73" s="9">
        <f t="shared" si="3"/>
        <v>330.00234239916296</v>
      </c>
      <c r="N73" s="11">
        <v>0.52845900000000001</v>
      </c>
    </row>
    <row r="74" spans="1:14" x14ac:dyDescent="0.2">
      <c r="A74" s="12" t="s">
        <v>28</v>
      </c>
      <c r="B74" s="24">
        <v>858.24444000000005</v>
      </c>
      <c r="C74" s="24">
        <f>1</f>
        <v>1</v>
      </c>
      <c r="D74" s="24">
        <v>1.0300000000000001E-3</v>
      </c>
      <c r="E74" s="24">
        <f>1</f>
        <v>1</v>
      </c>
      <c r="F74" s="13">
        <v>25</v>
      </c>
      <c r="G74" s="13">
        <f t="shared" si="4"/>
        <v>5.67811764</v>
      </c>
      <c r="H74" s="13">
        <f t="shared" si="5"/>
        <v>1.3536702483877561</v>
      </c>
      <c r="I74" s="13">
        <v>3450</v>
      </c>
      <c r="J74" s="13">
        <v>1.8360601409881401</v>
      </c>
      <c r="K74" s="13">
        <v>26.685120000000001</v>
      </c>
      <c r="L74" s="13">
        <v>663.33759999999995</v>
      </c>
      <c r="M74" s="13">
        <f t="shared" si="3"/>
        <v>354.36518811302597</v>
      </c>
      <c r="N74" s="15">
        <v>0.53421540000000001</v>
      </c>
    </row>
    <row r="75" spans="1:14" x14ac:dyDescent="0.2">
      <c r="A75" s="8" t="s">
        <v>29</v>
      </c>
      <c r="B75" s="20">
        <v>799.45838000000003</v>
      </c>
      <c r="C75" s="20">
        <f>1</f>
        <v>1</v>
      </c>
      <c r="D75" s="20">
        <v>2E-3</v>
      </c>
      <c r="E75" s="20">
        <f>1</f>
        <v>1</v>
      </c>
      <c r="F75" s="9">
        <v>0</v>
      </c>
      <c r="G75" s="9">
        <f t="shared" si="4"/>
        <v>0</v>
      </c>
      <c r="H75" s="9">
        <f t="shared" si="5"/>
        <v>0</v>
      </c>
      <c r="I75" s="9">
        <v>3450</v>
      </c>
      <c r="J75" s="9">
        <v>1.1387797168803699</v>
      </c>
      <c r="K75" s="9">
        <v>40.50441</v>
      </c>
      <c r="L75" s="9">
        <v>411.42189999999999</v>
      </c>
      <c r="M75" s="9">
        <f t="shared" si="3"/>
        <v>0</v>
      </c>
      <c r="N75" s="11">
        <v>0</v>
      </c>
    </row>
    <row r="76" spans="1:14" x14ac:dyDescent="0.2">
      <c r="A76" s="8" t="s">
        <v>29</v>
      </c>
      <c r="B76" s="20">
        <v>799.45838000000003</v>
      </c>
      <c r="C76" s="20">
        <f>1</f>
        <v>1</v>
      </c>
      <c r="D76" s="20">
        <v>2E-3</v>
      </c>
      <c r="E76" s="20">
        <f>1</f>
        <v>1</v>
      </c>
      <c r="F76" s="9">
        <v>6.25</v>
      </c>
      <c r="G76" s="9">
        <f t="shared" si="4"/>
        <v>1.41952941</v>
      </c>
      <c r="H76" s="9">
        <f t="shared" si="5"/>
        <v>0.31523741180026554</v>
      </c>
      <c r="I76" s="9">
        <v>3450</v>
      </c>
      <c r="J76" s="9">
        <v>1.2912300000000001</v>
      </c>
      <c r="K76" s="9">
        <v>38.429099999999998</v>
      </c>
      <c r="L76" s="9">
        <v>466.5</v>
      </c>
      <c r="M76" s="9">
        <f t="shared" si="3"/>
        <v>118.84118511399124</v>
      </c>
      <c r="N76" s="11">
        <v>0.25474999999999998</v>
      </c>
    </row>
    <row r="77" spans="1:14" x14ac:dyDescent="0.2">
      <c r="A77" s="8" t="s">
        <v>29</v>
      </c>
      <c r="B77" s="20">
        <v>799.45838000000003</v>
      </c>
      <c r="C77" s="20">
        <f>1</f>
        <v>1</v>
      </c>
      <c r="D77" s="20">
        <v>2E-3</v>
      </c>
      <c r="E77" s="20">
        <f>1</f>
        <v>1</v>
      </c>
      <c r="F77" s="9">
        <v>12.5</v>
      </c>
      <c r="G77" s="9">
        <f t="shared" si="4"/>
        <v>2.83905882</v>
      </c>
      <c r="H77" s="9">
        <f t="shared" si="5"/>
        <v>0.63047482360053109</v>
      </c>
      <c r="I77" s="9">
        <v>3450</v>
      </c>
      <c r="J77" s="9">
        <v>1.4745507361105501</v>
      </c>
      <c r="K77" s="9">
        <v>35.70908</v>
      </c>
      <c r="L77" s="9">
        <v>532.73030000000006</v>
      </c>
      <c r="M77" s="9">
        <f t="shared" si="3"/>
        <v>220.85916071572444</v>
      </c>
      <c r="N77" s="11">
        <v>0.4145797</v>
      </c>
    </row>
    <row r="78" spans="1:14" x14ac:dyDescent="0.2">
      <c r="A78" s="8" t="s">
        <v>29</v>
      </c>
      <c r="B78" s="20">
        <v>799.45838000000003</v>
      </c>
      <c r="C78" s="20">
        <f>1</f>
        <v>1</v>
      </c>
      <c r="D78" s="20">
        <v>2E-3</v>
      </c>
      <c r="E78" s="20">
        <f>1</f>
        <v>1</v>
      </c>
      <c r="F78" s="9">
        <v>18.75</v>
      </c>
      <c r="G78" s="9">
        <f t="shared" si="4"/>
        <v>4.25858823</v>
      </c>
      <c r="H78" s="9">
        <f t="shared" si="5"/>
        <v>0.94571223540079652</v>
      </c>
      <c r="I78" s="9">
        <v>3450</v>
      </c>
      <c r="J78" s="9">
        <v>1.6517200000000001</v>
      </c>
      <c r="K78" s="9">
        <v>32.251300000000001</v>
      </c>
      <c r="L78" s="9">
        <v>596.74</v>
      </c>
      <c r="M78" s="9">
        <f t="shared" si="3"/>
        <v>299.20940486247656</v>
      </c>
      <c r="N78" s="11">
        <v>0.50140600000000002</v>
      </c>
    </row>
    <row r="79" spans="1:14" x14ac:dyDescent="0.2">
      <c r="A79" s="12" t="s">
        <v>29</v>
      </c>
      <c r="B79" s="24">
        <v>799.45838000000003</v>
      </c>
      <c r="C79" s="24">
        <f>1</f>
        <v>1</v>
      </c>
      <c r="D79" s="24">
        <v>2E-3</v>
      </c>
      <c r="E79" s="24">
        <f>1</f>
        <v>1</v>
      </c>
      <c r="F79" s="13">
        <v>25</v>
      </c>
      <c r="G79" s="13">
        <f t="shared" si="4"/>
        <v>5.67811764</v>
      </c>
      <c r="H79" s="13">
        <f t="shared" si="5"/>
        <v>1.2609496472010622</v>
      </c>
      <c r="I79" s="13">
        <v>3450</v>
      </c>
      <c r="J79" s="13">
        <v>1.7594927347990901</v>
      </c>
      <c r="K79" s="13">
        <v>25.819559999999999</v>
      </c>
      <c r="L79" s="13">
        <v>635.67510000000004</v>
      </c>
      <c r="M79" s="13">
        <f t="shared" si="3"/>
        <v>319.38578936501807</v>
      </c>
      <c r="N79" s="15">
        <v>0.50243570000000004</v>
      </c>
    </row>
    <row r="80" spans="1:14" x14ac:dyDescent="0.2">
      <c r="A80" s="8" t="s">
        <v>30</v>
      </c>
      <c r="B80" s="20">
        <v>906.45862</v>
      </c>
      <c r="C80" s="20">
        <f>1</f>
        <v>1</v>
      </c>
      <c r="D80" s="20">
        <v>3.4499999999999999E-3</v>
      </c>
      <c r="E80" s="20">
        <f>1</f>
        <v>1</v>
      </c>
      <c r="F80" s="9">
        <v>0</v>
      </c>
      <c r="G80" s="9">
        <f t="shared" si="4"/>
        <v>0</v>
      </c>
      <c r="H80" s="9">
        <f t="shared" si="5"/>
        <v>0</v>
      </c>
      <c r="I80" s="9">
        <v>3450</v>
      </c>
      <c r="J80" s="9">
        <v>1.3057066171201399</v>
      </c>
      <c r="K80" s="9">
        <v>39.753349999999998</v>
      </c>
      <c r="L80" s="9">
        <v>471.72980000000001</v>
      </c>
      <c r="M80" s="9">
        <f t="shared" si="3"/>
        <v>0</v>
      </c>
      <c r="N80" s="11">
        <v>0</v>
      </c>
    </row>
    <row r="81" spans="1:14" x14ac:dyDescent="0.2">
      <c r="A81" s="8" t="s">
        <v>30</v>
      </c>
      <c r="B81" s="20">
        <v>906.45862</v>
      </c>
      <c r="C81" s="20">
        <f>1</f>
        <v>1</v>
      </c>
      <c r="D81" s="20">
        <v>3.4499999999999999E-3</v>
      </c>
      <c r="E81" s="20">
        <f>1</f>
        <v>1</v>
      </c>
      <c r="F81" s="9">
        <v>6.25</v>
      </c>
      <c r="G81" s="9">
        <f t="shared" si="4"/>
        <v>1.41952941</v>
      </c>
      <c r="H81" s="9">
        <f t="shared" si="5"/>
        <v>0.35742907501055948</v>
      </c>
      <c r="I81" s="9">
        <v>3450</v>
      </c>
      <c r="J81" s="9">
        <v>1.4861500000000001</v>
      </c>
      <c r="K81" s="9">
        <v>37.762099999999997</v>
      </c>
      <c r="L81" s="9">
        <v>536.91999999999996</v>
      </c>
      <c r="M81" s="9">
        <f t="shared" si="3"/>
        <v>132.40824296460579</v>
      </c>
      <c r="N81" s="11">
        <v>0.24660699999999999</v>
      </c>
    </row>
    <row r="82" spans="1:14" x14ac:dyDescent="0.2">
      <c r="A82" s="8" t="s">
        <v>30</v>
      </c>
      <c r="B82" s="20">
        <v>906.45862</v>
      </c>
      <c r="C82" s="20">
        <f>1</f>
        <v>1</v>
      </c>
      <c r="D82" s="20">
        <v>3.4499999999999999E-3</v>
      </c>
      <c r="E82" s="20">
        <f>1</f>
        <v>1</v>
      </c>
      <c r="F82" s="9">
        <v>12.5</v>
      </c>
      <c r="G82" s="9">
        <f t="shared" si="4"/>
        <v>2.83905882</v>
      </c>
      <c r="H82" s="9">
        <f t="shared" si="5"/>
        <v>0.71485815002111897</v>
      </c>
      <c r="I82" s="9">
        <v>3450</v>
      </c>
      <c r="J82" s="9">
        <v>1.7114940873642699</v>
      </c>
      <c r="K82" s="9">
        <v>35.16019</v>
      </c>
      <c r="L82" s="9">
        <v>618.33399999999995</v>
      </c>
      <c r="M82" s="9">
        <f t="shared" si="3"/>
        <v>246.5699195861302</v>
      </c>
      <c r="N82" s="11">
        <v>0.39876489999999998</v>
      </c>
    </row>
    <row r="83" spans="1:14" x14ac:dyDescent="0.2">
      <c r="A83" s="8" t="s">
        <v>30</v>
      </c>
      <c r="B83" s="20">
        <v>906.45862</v>
      </c>
      <c r="C83" s="20">
        <f>1</f>
        <v>1</v>
      </c>
      <c r="D83" s="20">
        <v>3.4499999999999999E-3</v>
      </c>
      <c r="E83" s="20">
        <f>1</f>
        <v>1</v>
      </c>
      <c r="F83" s="9">
        <v>18.75</v>
      </c>
      <c r="G83" s="9">
        <f t="shared" si="4"/>
        <v>4.25858823</v>
      </c>
      <c r="H83" s="9">
        <f t="shared" si="5"/>
        <v>1.0722872250316784</v>
      </c>
      <c r="I83" s="9">
        <v>3450</v>
      </c>
      <c r="J83" s="9">
        <v>1.9149700000000001</v>
      </c>
      <c r="K83" s="9">
        <v>31.5365</v>
      </c>
      <c r="L83" s="9">
        <v>691.846</v>
      </c>
      <c r="M83" s="9">
        <f t="shared" si="3"/>
        <v>331.73678536839515</v>
      </c>
      <c r="N83" s="11">
        <v>0.47949399999999998</v>
      </c>
    </row>
    <row r="84" spans="1:14" x14ac:dyDescent="0.2">
      <c r="A84" s="12" t="s">
        <v>30</v>
      </c>
      <c r="B84" s="24">
        <v>906.45862</v>
      </c>
      <c r="C84" s="24">
        <f>1</f>
        <v>1</v>
      </c>
      <c r="D84" s="24">
        <v>3.4499999999999999E-3</v>
      </c>
      <c r="E84" s="24">
        <f>1</f>
        <v>1</v>
      </c>
      <c r="F84" s="13">
        <v>25</v>
      </c>
      <c r="G84" s="13">
        <f t="shared" si="4"/>
        <v>5.67811764</v>
      </c>
      <c r="H84" s="13">
        <f t="shared" si="5"/>
        <v>1.4297163000422379</v>
      </c>
      <c r="I84" s="13">
        <v>3450</v>
      </c>
      <c r="J84" s="13">
        <v>2.0334840055693499</v>
      </c>
      <c r="K84" s="13">
        <v>25.100829999999998</v>
      </c>
      <c r="L84" s="13">
        <v>734.6635</v>
      </c>
      <c r="M84" s="13">
        <f t="shared" si="3"/>
        <v>352.05211545473014</v>
      </c>
      <c r="N84" s="15">
        <v>0.47920180000000001</v>
      </c>
    </row>
    <row r="85" spans="1:14" x14ac:dyDescent="0.2">
      <c r="A85" s="8" t="s">
        <v>31</v>
      </c>
      <c r="B85" s="20">
        <v>840.94500000000005</v>
      </c>
      <c r="C85" s="20">
        <f>1</f>
        <v>1</v>
      </c>
      <c r="D85" s="20">
        <v>5.6699999999999997E-3</v>
      </c>
      <c r="E85" s="20">
        <f>1</f>
        <v>1</v>
      </c>
      <c r="F85" s="9">
        <v>0</v>
      </c>
      <c r="G85" s="9">
        <f t="shared" si="4"/>
        <v>0</v>
      </c>
      <c r="H85" s="9">
        <f t="shared" si="5"/>
        <v>0</v>
      </c>
      <c r="I85" s="9">
        <v>3450</v>
      </c>
      <c r="J85" s="9">
        <v>1.26346691838867</v>
      </c>
      <c r="K85" s="9">
        <v>39.248019999999997</v>
      </c>
      <c r="L85" s="9">
        <v>456.46929999999998</v>
      </c>
      <c r="M85" s="9">
        <f t="shared" si="3"/>
        <v>0</v>
      </c>
      <c r="N85" s="11">
        <v>0</v>
      </c>
    </row>
    <row r="86" spans="1:14" x14ac:dyDescent="0.2">
      <c r="A86" s="8" t="s">
        <v>31</v>
      </c>
      <c r="B86" s="20">
        <v>840.94500000000005</v>
      </c>
      <c r="C86" s="20">
        <f>1</f>
        <v>1</v>
      </c>
      <c r="D86" s="20">
        <v>5.6699999999999997E-3</v>
      </c>
      <c r="E86" s="20">
        <f>1</f>
        <v>1</v>
      </c>
      <c r="F86" s="9">
        <v>6.25</v>
      </c>
      <c r="G86" s="9">
        <f t="shared" si="4"/>
        <v>1.41952941</v>
      </c>
      <c r="H86" s="9">
        <f t="shared" si="5"/>
        <v>0.331596155470125</v>
      </c>
      <c r="I86" s="9">
        <v>3450</v>
      </c>
      <c r="J86" s="9">
        <v>1.4574400000000001</v>
      </c>
      <c r="K86" s="9">
        <v>37.515900000000002</v>
      </c>
      <c r="L86" s="9">
        <v>526.548</v>
      </c>
      <c r="M86" s="9">
        <f t="shared" si="3"/>
        <v>122.03765773030632</v>
      </c>
      <c r="N86" s="11">
        <v>0.231769</v>
      </c>
    </row>
    <row r="87" spans="1:14" x14ac:dyDescent="0.2">
      <c r="A87" s="8" t="s">
        <v>31</v>
      </c>
      <c r="B87" s="20">
        <v>840.94500000000005</v>
      </c>
      <c r="C87" s="20">
        <f>1</f>
        <v>1</v>
      </c>
      <c r="D87" s="20">
        <v>5.6699999999999997E-3</v>
      </c>
      <c r="E87" s="20">
        <f>1</f>
        <v>1</v>
      </c>
      <c r="F87" s="9">
        <v>12.5</v>
      </c>
      <c r="G87" s="9">
        <f t="shared" si="4"/>
        <v>2.83905882</v>
      </c>
      <c r="H87" s="9">
        <f t="shared" si="5"/>
        <v>0.66319231094025</v>
      </c>
      <c r="I87" s="9">
        <v>3450</v>
      </c>
      <c r="J87" s="9">
        <v>1.6460202595086999</v>
      </c>
      <c r="K87" s="9">
        <v>34.790289999999999</v>
      </c>
      <c r="L87" s="9">
        <v>594.67939999999999</v>
      </c>
      <c r="M87" s="9">
        <f t="shared" si="3"/>
        <v>226.34272419737223</v>
      </c>
      <c r="N87" s="11">
        <v>0.38061309999999998</v>
      </c>
    </row>
    <row r="88" spans="1:14" x14ac:dyDescent="0.2">
      <c r="A88" s="8" t="s">
        <v>31</v>
      </c>
      <c r="B88" s="20">
        <v>840.94500000000005</v>
      </c>
      <c r="C88" s="20">
        <f>1</f>
        <v>1</v>
      </c>
      <c r="D88" s="20">
        <v>5.6699999999999997E-3</v>
      </c>
      <c r="E88" s="20">
        <f>1</f>
        <v>1</v>
      </c>
      <c r="F88" s="9">
        <v>18.75</v>
      </c>
      <c r="G88" s="9">
        <f t="shared" si="4"/>
        <v>4.25858823</v>
      </c>
      <c r="H88" s="9">
        <f t="shared" si="5"/>
        <v>0.99478846641037511</v>
      </c>
      <c r="I88" s="9">
        <v>3450</v>
      </c>
      <c r="J88" s="9">
        <v>1.8329200000000001</v>
      </c>
      <c r="K88" s="9">
        <v>30.5761</v>
      </c>
      <c r="L88" s="9">
        <v>662.20299999999997</v>
      </c>
      <c r="M88" s="9">
        <f t="shared" si="3"/>
        <v>298.38833346881876</v>
      </c>
      <c r="N88" s="11">
        <v>0.4506</v>
      </c>
    </row>
    <row r="89" spans="1:14" x14ac:dyDescent="0.2">
      <c r="A89" s="12" t="s">
        <v>31</v>
      </c>
      <c r="B89" s="24">
        <v>840.94500000000005</v>
      </c>
      <c r="C89" s="24">
        <f>1</f>
        <v>1</v>
      </c>
      <c r="D89" s="24">
        <v>5.6699999999999997E-3</v>
      </c>
      <c r="E89" s="24">
        <f>1</f>
        <v>1</v>
      </c>
      <c r="F89" s="13">
        <v>25</v>
      </c>
      <c r="G89" s="13">
        <f t="shared" si="4"/>
        <v>5.67811764</v>
      </c>
      <c r="H89" s="13">
        <f t="shared" si="5"/>
        <v>1.3263846218805</v>
      </c>
      <c r="I89" s="13">
        <v>3450</v>
      </c>
      <c r="J89" s="13">
        <v>1.9408779015775199</v>
      </c>
      <c r="K89" s="13">
        <v>23.201630000000002</v>
      </c>
      <c r="L89" s="13">
        <v>701.20650000000001</v>
      </c>
      <c r="M89" s="13">
        <f t="shared" si="3"/>
        <v>301.89573815104603</v>
      </c>
      <c r="N89" s="15">
        <v>0.43053770000000002</v>
      </c>
    </row>
    <row r="90" spans="1:14" x14ac:dyDescent="0.2">
      <c r="A90" s="8" t="s">
        <v>32</v>
      </c>
      <c r="B90" s="20">
        <v>862.72947999999997</v>
      </c>
      <c r="C90" s="20">
        <f>1</f>
        <v>1</v>
      </c>
      <c r="D90" s="20">
        <v>1.0370000000000001E-2</v>
      </c>
      <c r="E90" s="20">
        <f>1</f>
        <v>1</v>
      </c>
      <c r="F90" s="9">
        <v>0</v>
      </c>
      <c r="G90" s="9">
        <f>0.000063090196*F90*3600</f>
        <v>0</v>
      </c>
      <c r="H90" s="9">
        <f t="shared" si="5"/>
        <v>0</v>
      </c>
      <c r="I90" s="9">
        <v>3450</v>
      </c>
      <c r="J90" s="9">
        <v>1.3429544003332601</v>
      </c>
      <c r="K90" s="9">
        <v>38.554859999999998</v>
      </c>
      <c r="L90" s="9">
        <v>485.18680000000001</v>
      </c>
      <c r="M90" s="9">
        <f t="shared" si="3"/>
        <v>0</v>
      </c>
      <c r="N90" s="11">
        <v>0</v>
      </c>
    </row>
    <row r="91" spans="1:14" x14ac:dyDescent="0.2">
      <c r="A91" s="8" t="s">
        <v>32</v>
      </c>
      <c r="B91" s="20">
        <v>862.72947999999997</v>
      </c>
      <c r="C91" s="20">
        <f>1</f>
        <v>1</v>
      </c>
      <c r="D91" s="20">
        <v>1.0370000000000001E-2</v>
      </c>
      <c r="E91" s="20">
        <f>1</f>
        <v>1</v>
      </c>
      <c r="F91" s="9">
        <v>6.25</v>
      </c>
      <c r="G91" s="9">
        <f>0.000063090196*F91*3600</f>
        <v>1.41952941</v>
      </c>
      <c r="H91" s="9">
        <f>G91*B91/3600</f>
        <v>0.34018607492611302</v>
      </c>
      <c r="I91" s="9">
        <v>3450</v>
      </c>
      <c r="J91" s="9">
        <v>1.54782</v>
      </c>
      <c r="K91" s="9">
        <v>36.836199999999998</v>
      </c>
      <c r="L91" s="9">
        <v>559.20000000000005</v>
      </c>
      <c r="M91" s="9">
        <f t="shared" si="3"/>
        <v>122.93070209622611</v>
      </c>
      <c r="N91" s="11">
        <v>0.219833</v>
      </c>
    </row>
    <row r="92" spans="1:14" x14ac:dyDescent="0.2">
      <c r="A92" s="8" t="s">
        <v>32</v>
      </c>
      <c r="B92" s="20">
        <v>862.72947999999997</v>
      </c>
      <c r="C92" s="20">
        <f>1</f>
        <v>1</v>
      </c>
      <c r="D92" s="20">
        <v>1.0370000000000001E-2</v>
      </c>
      <c r="E92" s="20">
        <f>1</f>
        <v>1</v>
      </c>
      <c r="F92" s="9">
        <v>12.5</v>
      </c>
      <c r="G92" s="9">
        <f>0.000063090196*F92*3600</f>
        <v>2.83905882</v>
      </c>
      <c r="H92" s="9">
        <f>G92*B92/3600</f>
        <v>0.68037214985222605</v>
      </c>
      <c r="I92" s="9">
        <v>3450</v>
      </c>
      <c r="J92" s="9">
        <v>1.7553215175352901</v>
      </c>
      <c r="K92" s="9">
        <v>33.900709999999997</v>
      </c>
      <c r="L92" s="9">
        <v>634.16809999999998</v>
      </c>
      <c r="M92" s="9">
        <f t="shared" si="3"/>
        <v>226.26862064276736</v>
      </c>
      <c r="N92" s="11">
        <v>0.3567959</v>
      </c>
    </row>
    <row r="93" spans="1:14" x14ac:dyDescent="0.2">
      <c r="A93" s="8" t="s">
        <v>32</v>
      </c>
      <c r="B93" s="20">
        <v>862.72947999999997</v>
      </c>
      <c r="C93" s="20">
        <f>1</f>
        <v>1</v>
      </c>
      <c r="D93" s="20">
        <v>1.0370000000000001E-2</v>
      </c>
      <c r="E93" s="20">
        <f>1</f>
        <v>1</v>
      </c>
      <c r="F93" s="9">
        <v>18.75</v>
      </c>
      <c r="G93" s="9">
        <f>0.000063090196*F93*3600</f>
        <v>4.25858823</v>
      </c>
      <c r="H93" s="9">
        <f>G93*B93/3600</f>
        <v>1.0205582247783389</v>
      </c>
      <c r="I93" s="9">
        <v>3450</v>
      </c>
      <c r="J93" s="9">
        <v>1.9364600000000001</v>
      </c>
      <c r="K93" s="9">
        <v>29.055399999999999</v>
      </c>
      <c r="L93" s="9">
        <v>699.60900000000004</v>
      </c>
      <c r="M93" s="9">
        <f t="shared" si="3"/>
        <v>290.89325622784287</v>
      </c>
      <c r="N93" s="11">
        <v>0.415794</v>
      </c>
    </row>
    <row r="94" spans="1:14" x14ac:dyDescent="0.2">
      <c r="A94" s="12" t="s">
        <v>32</v>
      </c>
      <c r="B94" s="24">
        <v>862.72947999999997</v>
      </c>
      <c r="C94" s="24">
        <f>1</f>
        <v>1</v>
      </c>
      <c r="D94" s="24">
        <v>1.0370000000000001E-2</v>
      </c>
      <c r="E94" s="24">
        <f>1</f>
        <v>1</v>
      </c>
      <c r="F94" s="13">
        <v>25</v>
      </c>
      <c r="G94" s="13">
        <f>0.000063090196*F94*3600</f>
        <v>5.67811764</v>
      </c>
      <c r="H94" s="13">
        <f>G94*B94/3600</f>
        <v>1.3607442997044521</v>
      </c>
      <c r="I94" s="13">
        <v>3450</v>
      </c>
      <c r="J94" s="13">
        <v>2.0481282607084998</v>
      </c>
      <c r="K94" s="13">
        <v>21.681460000000001</v>
      </c>
      <c r="L94" s="13">
        <v>739.95420000000001</v>
      </c>
      <c r="M94" s="13">
        <f t="shared" si="3"/>
        <v>289.42367565288959</v>
      </c>
      <c r="N94" s="15">
        <v>0.39113730000000002</v>
      </c>
    </row>
    <row r="95" spans="1:14" x14ac:dyDescent="0.2">
      <c r="A95" s="8" t="s">
        <v>33</v>
      </c>
      <c r="B95" s="20">
        <v>885.15467999999998</v>
      </c>
      <c r="C95" s="20">
        <f>1</f>
        <v>1</v>
      </c>
      <c r="D95" s="20">
        <v>2.572E-2</v>
      </c>
      <c r="E95" s="20">
        <f>1</f>
        <v>1</v>
      </c>
      <c r="F95" s="9">
        <v>0</v>
      </c>
      <c r="G95" s="9">
        <f t="shared" ref="G95:G151" si="6">0.000063090196*F95*3600</f>
        <v>0</v>
      </c>
      <c r="H95" s="9">
        <f t="shared" si="5"/>
        <v>0</v>
      </c>
      <c r="I95" s="9">
        <v>3450</v>
      </c>
      <c r="J95" s="9">
        <v>1.52216677065411</v>
      </c>
      <c r="K95" s="9">
        <v>37.939410000000002</v>
      </c>
      <c r="L95" s="9">
        <v>549.93320000000006</v>
      </c>
      <c r="M95" s="9">
        <f t="shared" si="3"/>
        <v>0</v>
      </c>
      <c r="N95" s="11">
        <v>0</v>
      </c>
    </row>
    <row r="96" spans="1:14" x14ac:dyDescent="0.2">
      <c r="A96" s="8" t="s">
        <v>33</v>
      </c>
      <c r="B96" s="20">
        <v>885.15467999999998</v>
      </c>
      <c r="C96" s="20">
        <f>1</f>
        <v>1</v>
      </c>
      <c r="D96" s="20">
        <v>2.572E-2</v>
      </c>
      <c r="E96" s="9">
        <f>1</f>
        <v>1</v>
      </c>
      <c r="F96" s="9">
        <v>6.25</v>
      </c>
      <c r="G96" s="9">
        <f>0.000063090196*F96*3600</f>
        <v>1.41952941</v>
      </c>
      <c r="H96" s="9">
        <f>G96*B96/3600</f>
        <v>0.34902863907198295</v>
      </c>
      <c r="I96" s="9">
        <v>3450</v>
      </c>
      <c r="J96" s="9">
        <v>1.6991099999999999</v>
      </c>
      <c r="K96" s="9">
        <v>35.3506</v>
      </c>
      <c r="L96" s="9">
        <v>613.86099999999999</v>
      </c>
      <c r="M96" s="9">
        <f t="shared" si="3"/>
        <v>121.0394274401886</v>
      </c>
      <c r="N96" s="11">
        <v>0.19717799999999999</v>
      </c>
    </row>
    <row r="97" spans="1:14" x14ac:dyDescent="0.2">
      <c r="A97" s="8" t="s">
        <v>33</v>
      </c>
      <c r="B97" s="20">
        <v>885.15467999999998</v>
      </c>
      <c r="C97" s="20">
        <f>1</f>
        <v>1</v>
      </c>
      <c r="D97" s="20">
        <v>2.572E-2</v>
      </c>
      <c r="E97" s="9">
        <f>1</f>
        <v>1</v>
      </c>
      <c r="F97" s="9">
        <v>12.5</v>
      </c>
      <c r="G97" s="9">
        <f>0.000063090196*F97*3600</f>
        <v>2.83905882</v>
      </c>
      <c r="H97" s="9">
        <f>G97*B97/3600</f>
        <v>0.6980572781439659</v>
      </c>
      <c r="I97" s="9">
        <v>3450</v>
      </c>
      <c r="J97" s="9">
        <v>1.9234045439203</v>
      </c>
      <c r="K97" s="9">
        <v>32.20964</v>
      </c>
      <c r="L97" s="9">
        <v>694.89369999999997</v>
      </c>
      <c r="M97" s="9">
        <f t="shared" si="3"/>
        <v>220.56974329457472</v>
      </c>
      <c r="N97" s="11">
        <v>0.31741510000000001</v>
      </c>
    </row>
    <row r="98" spans="1:14" x14ac:dyDescent="0.2">
      <c r="A98" s="8" t="s">
        <v>33</v>
      </c>
      <c r="B98" s="20">
        <v>885.15467999999998</v>
      </c>
      <c r="C98" s="20">
        <f>1</f>
        <v>1</v>
      </c>
      <c r="D98" s="20">
        <v>2.572E-2</v>
      </c>
      <c r="E98" s="9">
        <f>1</f>
        <v>1</v>
      </c>
      <c r="F98" s="9">
        <v>18.75</v>
      </c>
      <c r="G98" s="9">
        <f>0.000063090196*F98*3600</f>
        <v>4.25858823</v>
      </c>
      <c r="H98" s="9">
        <f>G98*B98/3600</f>
        <v>1.047085917215949</v>
      </c>
      <c r="I98" s="9">
        <v>3450</v>
      </c>
      <c r="J98" s="9">
        <v>2.1160100000000002</v>
      </c>
      <c r="K98" s="9">
        <v>26.723099999999999</v>
      </c>
      <c r="L98" s="9">
        <v>764.48</v>
      </c>
      <c r="M98" s="9">
        <f t="shared" si="3"/>
        <v>274.49735422540806</v>
      </c>
      <c r="N98" s="11">
        <v>0.35906399999999999</v>
      </c>
    </row>
    <row r="99" spans="1:14" x14ac:dyDescent="0.2">
      <c r="A99" s="12" t="s">
        <v>33</v>
      </c>
      <c r="B99" s="24">
        <v>885.15467999999998</v>
      </c>
      <c r="C99" s="24">
        <f>1</f>
        <v>1</v>
      </c>
      <c r="D99" s="24">
        <v>2.572E-2</v>
      </c>
      <c r="E99" s="24">
        <f>1</f>
        <v>1</v>
      </c>
      <c r="F99" s="13">
        <v>25</v>
      </c>
      <c r="G99" s="13">
        <f>0.000063090196*F99*3600</f>
        <v>5.67811764</v>
      </c>
      <c r="H99" s="13">
        <f>G99*B99/3600</f>
        <v>1.3961145562879318</v>
      </c>
      <c r="I99" s="13">
        <v>3450</v>
      </c>
      <c r="J99" s="13">
        <v>2.2454709889378299</v>
      </c>
      <c r="K99" s="13">
        <v>18.188849999999999</v>
      </c>
      <c r="L99" s="13">
        <v>811.25080000000003</v>
      </c>
      <c r="M99" s="13">
        <f t="shared" si="3"/>
        <v>249.11237600442135</v>
      </c>
      <c r="N99" s="15">
        <v>0.30707190000000001</v>
      </c>
    </row>
    <row r="100" spans="1:14" x14ac:dyDescent="0.2">
      <c r="A100" s="8" t="s">
        <v>34</v>
      </c>
      <c r="B100" s="9">
        <v>901.01250000000005</v>
      </c>
      <c r="C100" s="20">
        <f>1</f>
        <v>1</v>
      </c>
      <c r="D100" s="9">
        <v>4.3150000000000001E-2</v>
      </c>
      <c r="E100" s="20">
        <f>1</f>
        <v>1</v>
      </c>
      <c r="F100" s="9">
        <v>0</v>
      </c>
      <c r="G100" s="9">
        <f t="shared" si="6"/>
        <v>0</v>
      </c>
      <c r="H100" s="9">
        <f t="shared" si="5"/>
        <v>0</v>
      </c>
      <c r="I100" s="9">
        <v>3450</v>
      </c>
      <c r="J100" s="9">
        <v>1.6585220105573599</v>
      </c>
      <c r="K100" s="9">
        <v>36.87961</v>
      </c>
      <c r="L100" s="9">
        <v>5.9919609999999999</v>
      </c>
      <c r="M100" s="9">
        <f t="shared" si="3"/>
        <v>0</v>
      </c>
      <c r="N100" s="11">
        <v>0</v>
      </c>
    </row>
    <row r="101" spans="1:14" x14ac:dyDescent="0.2">
      <c r="A101" s="8" t="s">
        <v>34</v>
      </c>
      <c r="B101" s="9">
        <v>901.01250000000005</v>
      </c>
      <c r="C101" s="20">
        <f>1</f>
        <v>1</v>
      </c>
      <c r="D101" s="9">
        <v>4.3150000000000001E-2</v>
      </c>
      <c r="E101" s="20">
        <f>1</f>
        <v>1</v>
      </c>
      <c r="F101" s="9">
        <v>6.25</v>
      </c>
      <c r="G101" s="9">
        <f>0.000063090196*F101*3600</f>
        <v>1.41952941</v>
      </c>
      <c r="H101" s="9">
        <f>G101*B101/3600</f>
        <v>0.35528159514656249</v>
      </c>
      <c r="I101" s="9">
        <v>3450</v>
      </c>
      <c r="J101" s="9">
        <v>1.8429800000000001</v>
      </c>
      <c r="K101" s="9">
        <v>33.762599999999999</v>
      </c>
      <c r="L101" s="9">
        <v>665.83699999999999</v>
      </c>
      <c r="M101" s="9">
        <f t="shared" si="3"/>
        <v>117.6732100699372</v>
      </c>
      <c r="N101" s="11">
        <v>0.17673</v>
      </c>
    </row>
    <row r="102" spans="1:14" x14ac:dyDescent="0.2">
      <c r="A102" s="8" t="s">
        <v>34</v>
      </c>
      <c r="B102" s="9">
        <v>901.01250000000005</v>
      </c>
      <c r="C102" s="20">
        <f>1</f>
        <v>1</v>
      </c>
      <c r="D102" s="9">
        <v>4.3150000000000001E-2</v>
      </c>
      <c r="E102" s="20">
        <f>1</f>
        <v>1</v>
      </c>
      <c r="F102" s="9">
        <v>12.5</v>
      </c>
      <c r="G102" s="9">
        <f>0.000063090196*F102*3600</f>
        <v>2.83905882</v>
      </c>
      <c r="H102" s="9">
        <f>G102*B102/3600</f>
        <v>0.71056319029312498</v>
      </c>
      <c r="I102" s="9">
        <v>3450</v>
      </c>
      <c r="J102" s="9">
        <v>2.0771946883630599</v>
      </c>
      <c r="K102" s="9">
        <v>30.0063</v>
      </c>
      <c r="L102" s="9">
        <v>750.45550000000003</v>
      </c>
      <c r="M102" s="9">
        <f t="shared" si="3"/>
        <v>209.16266184011639</v>
      </c>
      <c r="N102" s="11">
        <v>0.27871430000000003</v>
      </c>
    </row>
    <row r="103" spans="1:14" x14ac:dyDescent="0.2">
      <c r="A103" s="8" t="s">
        <v>34</v>
      </c>
      <c r="B103" s="9">
        <v>901.01250000000005</v>
      </c>
      <c r="C103" s="20">
        <f>1</f>
        <v>1</v>
      </c>
      <c r="D103" s="9">
        <v>4.3150000000000001E-2</v>
      </c>
      <c r="E103" s="20">
        <f>1</f>
        <v>1</v>
      </c>
      <c r="F103" s="9">
        <v>18.75</v>
      </c>
      <c r="G103" s="9">
        <f>0.000063090196*F103*3600</f>
        <v>4.25858823</v>
      </c>
      <c r="H103" s="9">
        <f>G103*B103/3600</f>
        <v>1.0658447854396875</v>
      </c>
      <c r="I103" s="9">
        <v>3450</v>
      </c>
      <c r="J103" s="9">
        <v>2.2885200000000001</v>
      </c>
      <c r="K103" s="9">
        <v>23.7973</v>
      </c>
      <c r="L103" s="9">
        <v>826.80399999999997</v>
      </c>
      <c r="M103" s="9">
        <f t="shared" si="3"/>
        <v>248.82307778405541</v>
      </c>
      <c r="N103" s="11">
        <v>0.30094599999999999</v>
      </c>
    </row>
    <row r="104" spans="1:14" x14ac:dyDescent="0.2">
      <c r="A104" s="12" t="s">
        <v>34</v>
      </c>
      <c r="B104" s="13">
        <v>901.01250000000005</v>
      </c>
      <c r="C104" s="24">
        <f>1</f>
        <v>1</v>
      </c>
      <c r="D104" s="13">
        <v>4.3150000000000001E-2</v>
      </c>
      <c r="E104" s="24">
        <f>1</f>
        <v>1</v>
      </c>
      <c r="F104" s="13">
        <v>25</v>
      </c>
      <c r="G104" s="13">
        <f>0.000063090196*F104*3600</f>
        <v>5.67811764</v>
      </c>
      <c r="H104" s="13">
        <f>G104*B104/3600</f>
        <v>1.42112638058625</v>
      </c>
      <c r="I104" s="13">
        <v>3450</v>
      </c>
      <c r="J104" s="13">
        <v>2.42057593590898</v>
      </c>
      <c r="K104" s="13">
        <v>15.04072</v>
      </c>
      <c r="L104" s="13">
        <v>874.51329999999996</v>
      </c>
      <c r="M104" s="13">
        <f t="shared" si="3"/>
        <v>209.68643459486012</v>
      </c>
      <c r="N104" s="15">
        <v>0.23977499999999999</v>
      </c>
    </row>
    <row r="105" spans="1:14" x14ac:dyDescent="0.2">
      <c r="A105" s="8" t="s">
        <v>35</v>
      </c>
      <c r="B105" s="9">
        <v>949.54704000000004</v>
      </c>
      <c r="C105" s="20">
        <f>1</f>
        <v>1</v>
      </c>
      <c r="D105" s="9">
        <v>0.18853999999999999</v>
      </c>
      <c r="E105" s="20">
        <f>1</f>
        <v>1</v>
      </c>
      <c r="F105" s="9">
        <v>0</v>
      </c>
      <c r="G105" s="9">
        <f t="shared" si="6"/>
        <v>0</v>
      </c>
      <c r="H105" s="9">
        <f t="shared" si="5"/>
        <v>0</v>
      </c>
      <c r="I105" s="9">
        <v>3450</v>
      </c>
      <c r="J105" s="9">
        <v>2.5595836316543399</v>
      </c>
      <c r="K105" s="9">
        <v>32.459319999999998</v>
      </c>
      <c r="L105" s="9">
        <v>924.73450000000003</v>
      </c>
      <c r="M105" s="9">
        <f t="shared" si="3"/>
        <v>0</v>
      </c>
      <c r="N105" s="11">
        <v>0</v>
      </c>
    </row>
    <row r="106" spans="1:14" x14ac:dyDescent="0.2">
      <c r="A106" s="8" t="s">
        <v>35</v>
      </c>
      <c r="B106" s="9">
        <v>949.54704000000004</v>
      </c>
      <c r="C106" s="20">
        <f>1</f>
        <v>1</v>
      </c>
      <c r="D106" s="9">
        <v>0.18853999999999999</v>
      </c>
      <c r="E106" s="20">
        <f>1</f>
        <v>1</v>
      </c>
      <c r="F106" s="9">
        <v>6.25</v>
      </c>
      <c r="G106" s="9">
        <f t="shared" si="6"/>
        <v>1.41952941</v>
      </c>
      <c r="H106" s="9">
        <f t="shared" si="5"/>
        <v>0.37441943040512399</v>
      </c>
      <c r="I106" s="9">
        <v>3450</v>
      </c>
      <c r="J106" s="9">
        <v>2.8098299999999998</v>
      </c>
      <c r="K106" s="9">
        <v>26.622399999999999</v>
      </c>
      <c r="L106" s="9">
        <v>1015.14</v>
      </c>
      <c r="M106" s="9">
        <f t="shared" si="3"/>
        <v>97.78552910981044</v>
      </c>
      <c r="N106" s="11">
        <v>9.6326899999999993E-2</v>
      </c>
    </row>
    <row r="107" spans="1:14" x14ac:dyDescent="0.2">
      <c r="A107" s="8" t="s">
        <v>35</v>
      </c>
      <c r="B107" s="9">
        <v>949.54704000000004</v>
      </c>
      <c r="C107" s="20">
        <f>1</f>
        <v>1</v>
      </c>
      <c r="D107" s="9">
        <v>0.18853999999999999</v>
      </c>
      <c r="E107" s="20">
        <f>1</f>
        <v>1</v>
      </c>
      <c r="F107" s="9">
        <v>12.5</v>
      </c>
      <c r="G107" s="9">
        <f t="shared" si="6"/>
        <v>2.83905882</v>
      </c>
      <c r="H107" s="9">
        <f t="shared" si="5"/>
        <v>0.74883886081024797</v>
      </c>
      <c r="I107" s="9">
        <v>3450</v>
      </c>
      <c r="J107" s="9">
        <v>3.11639071262376</v>
      </c>
      <c r="K107" s="9">
        <v>19.646570000000001</v>
      </c>
      <c r="L107" s="9">
        <v>1125.8989999999999</v>
      </c>
      <c r="M107" s="9">
        <f t="shared" si="3"/>
        <v>144.32584910773849</v>
      </c>
      <c r="N107" s="11">
        <v>0.1281872</v>
      </c>
    </row>
    <row r="108" spans="1:14" x14ac:dyDescent="0.2">
      <c r="A108" s="8" t="s">
        <v>35</v>
      </c>
      <c r="B108" s="9">
        <v>949.54704000000004</v>
      </c>
      <c r="C108" s="20">
        <f>1</f>
        <v>1</v>
      </c>
      <c r="D108" s="9">
        <v>0.18853999999999999</v>
      </c>
      <c r="E108" s="20">
        <f>1</f>
        <v>1</v>
      </c>
      <c r="F108" s="9">
        <v>18.75</v>
      </c>
      <c r="G108" s="9">
        <f t="shared" si="6"/>
        <v>4.25858823</v>
      </c>
      <c r="H108" s="9">
        <f t="shared" si="5"/>
        <v>1.1232582912153721</v>
      </c>
      <c r="I108" s="9">
        <v>3450</v>
      </c>
      <c r="J108" s="9">
        <v>3.40219</v>
      </c>
      <c r="K108" s="9">
        <v>10.498699999999999</v>
      </c>
      <c r="L108" s="9">
        <v>1229.1500000000001</v>
      </c>
      <c r="M108" s="9">
        <f>B108*9.81*G108/3600*K108</f>
        <v>115.68689537365152</v>
      </c>
      <c r="N108" s="11">
        <v>9.4118800000000002E-2</v>
      </c>
    </row>
    <row r="109" spans="1:14" x14ac:dyDescent="0.2">
      <c r="A109" s="12" t="s">
        <v>35</v>
      </c>
      <c r="B109" s="13">
        <v>949.54704000000004</v>
      </c>
      <c r="C109" s="24">
        <f>1</f>
        <v>1</v>
      </c>
      <c r="D109" s="13">
        <v>0.18853999999999999</v>
      </c>
      <c r="E109" s="24">
        <f>1</f>
        <v>1</v>
      </c>
      <c r="F109" s="13">
        <v>25</v>
      </c>
      <c r="G109" s="13">
        <f t="shared" si="6"/>
        <v>5.67811764</v>
      </c>
      <c r="H109" s="13">
        <f t="shared" si="5"/>
        <v>1.4976777216204959</v>
      </c>
      <c r="I109" s="13">
        <v>3450</v>
      </c>
      <c r="J109" s="13">
        <v>3.61842992867764</v>
      </c>
      <c r="K109" s="13">
        <v>1.504683</v>
      </c>
      <c r="L109" s="13">
        <v>1307.278</v>
      </c>
      <c r="M109" s="13">
        <f>B109*9.81*G109/3600*K109</f>
        <v>22.107131332642723</v>
      </c>
      <c r="N109" s="15">
        <v>1.691082E-2</v>
      </c>
    </row>
    <row r="110" spans="1:14" x14ac:dyDescent="0.2">
      <c r="A110" s="8" t="s">
        <v>36</v>
      </c>
      <c r="B110" s="9">
        <v>1014.152258761198</v>
      </c>
      <c r="C110" s="9">
        <v>3.1550260414461642E-2</v>
      </c>
      <c r="D110" s="9">
        <v>6.8077161393176064</v>
      </c>
      <c r="E110" s="9">
        <v>0.43046549540444617</v>
      </c>
      <c r="F110" s="9">
        <v>0</v>
      </c>
      <c r="G110" s="9">
        <f t="shared" si="6"/>
        <v>0</v>
      </c>
      <c r="H110" s="9">
        <f t="shared" si="5"/>
        <v>0</v>
      </c>
      <c r="I110" s="9">
        <v>3450</v>
      </c>
      <c r="J110" s="9">
        <v>1.68353709370511</v>
      </c>
      <c r="K110" s="26">
        <v>2064.8420000000001</v>
      </c>
      <c r="L110" s="9">
        <v>608.23360000000002</v>
      </c>
      <c r="M110" s="9">
        <f t="shared" si="3"/>
        <v>0</v>
      </c>
      <c r="N110" s="11">
        <v>0</v>
      </c>
    </row>
    <row r="111" spans="1:14" x14ac:dyDescent="0.2">
      <c r="A111" s="8" t="s">
        <v>36</v>
      </c>
      <c r="B111" s="9">
        <v>1014.152258761198</v>
      </c>
      <c r="C111" s="9">
        <v>3.1550260414461642E-2</v>
      </c>
      <c r="D111" s="9">
        <v>6.8077161393176064</v>
      </c>
      <c r="E111" s="9">
        <v>0.43046549540444617</v>
      </c>
      <c r="F111" s="9">
        <v>12.5</v>
      </c>
      <c r="G111" s="9">
        <f t="shared" si="6"/>
        <v>2.83905882</v>
      </c>
      <c r="H111" s="9">
        <f t="shared" si="5"/>
        <v>0.79978830973858372</v>
      </c>
      <c r="I111" s="9">
        <v>3450</v>
      </c>
      <c r="J111" s="9">
        <v>2.1619129196369702</v>
      </c>
      <c r="K111" s="9">
        <v>30.597000000000001</v>
      </c>
      <c r="L111" s="9">
        <v>781.06269999999995</v>
      </c>
      <c r="M111" s="9">
        <f t="shared" si="3"/>
        <v>240.06171577723092</v>
      </c>
      <c r="N111" s="11">
        <v>0.30735269999999998</v>
      </c>
    </row>
    <row r="112" spans="1:14" x14ac:dyDescent="0.2">
      <c r="A112" s="12" t="s">
        <v>36</v>
      </c>
      <c r="B112" s="13">
        <v>1014.152258761198</v>
      </c>
      <c r="C112" s="13">
        <v>3.1550260414461642E-2</v>
      </c>
      <c r="D112" s="13">
        <v>6.8077161393176064</v>
      </c>
      <c r="E112" s="13">
        <v>0.43046549540444617</v>
      </c>
      <c r="F112" s="13">
        <v>25</v>
      </c>
      <c r="G112" s="13">
        <f t="shared" si="6"/>
        <v>5.67811764</v>
      </c>
      <c r="H112" s="13">
        <f t="shared" si="5"/>
        <v>1.5995766194771674</v>
      </c>
      <c r="I112" s="13">
        <v>3450</v>
      </c>
      <c r="J112" s="13">
        <v>2.6690516548965002</v>
      </c>
      <c r="K112" s="13">
        <v>17.580290000000002</v>
      </c>
      <c r="L112" s="13">
        <v>964.28340000000003</v>
      </c>
      <c r="M112" s="13">
        <f t="shared" si="3"/>
        <v>275.86721451523323</v>
      </c>
      <c r="N112" s="15">
        <v>0.28608509999999998</v>
      </c>
    </row>
    <row r="113" spans="1:14" x14ac:dyDescent="0.2">
      <c r="A113" s="8" t="s">
        <v>37</v>
      </c>
      <c r="B113" s="9">
        <v>1017.862934095259</v>
      </c>
      <c r="C113" s="9">
        <v>1.733686730215923E-3</v>
      </c>
      <c r="D113" s="9">
        <v>10.82322051457839</v>
      </c>
      <c r="E113" s="9">
        <v>0.3345396183918381</v>
      </c>
      <c r="F113" s="9">
        <v>0</v>
      </c>
      <c r="G113" s="9">
        <f t="shared" si="6"/>
        <v>0</v>
      </c>
      <c r="H113" s="9">
        <f t="shared" si="5"/>
        <v>0</v>
      </c>
      <c r="I113" s="9">
        <v>3450</v>
      </c>
      <c r="J113" s="9">
        <v>1.6685320019447401</v>
      </c>
      <c r="K113" s="26">
        <v>681.74419999999998</v>
      </c>
      <c r="L113" s="9">
        <v>6.0281250000000002</v>
      </c>
      <c r="M113" s="9">
        <f t="shared" si="3"/>
        <v>0</v>
      </c>
      <c r="N113" s="11">
        <v>0</v>
      </c>
    </row>
    <row r="114" spans="1:14" x14ac:dyDescent="0.2">
      <c r="A114" s="8" t="s">
        <v>37</v>
      </c>
      <c r="B114" s="9">
        <v>1017.862934095259</v>
      </c>
      <c r="C114" s="9">
        <v>1.733686730215923E-3</v>
      </c>
      <c r="D114" s="9">
        <v>10.82322051457839</v>
      </c>
      <c r="E114" s="9">
        <v>0.3345396183918381</v>
      </c>
      <c r="F114" s="9">
        <v>12.5</v>
      </c>
      <c r="G114" s="9">
        <f t="shared" si="6"/>
        <v>2.83905882</v>
      </c>
      <c r="H114" s="9">
        <f t="shared" si="5"/>
        <v>0.80271465016506216</v>
      </c>
      <c r="I114" s="9">
        <v>3450</v>
      </c>
      <c r="J114" s="9">
        <v>2.0676964920113701</v>
      </c>
      <c r="K114" s="9">
        <v>32.680520000000001</v>
      </c>
      <c r="L114" s="9">
        <v>747.02390000000003</v>
      </c>
      <c r="M114" s="9">
        <f t="shared" si="3"/>
        <v>257.34702667611089</v>
      </c>
      <c r="N114" s="11">
        <v>0.34449639999999998</v>
      </c>
    </row>
    <row r="115" spans="1:14" x14ac:dyDescent="0.2">
      <c r="A115" s="8" t="s">
        <v>37</v>
      </c>
      <c r="B115" s="9">
        <v>1017.862934095259</v>
      </c>
      <c r="C115" s="9">
        <v>1.733686730215923E-3</v>
      </c>
      <c r="D115" s="9">
        <v>10.82322051457839</v>
      </c>
      <c r="E115" s="9">
        <v>0.3345396183918381</v>
      </c>
      <c r="F115" s="9">
        <v>18.75</v>
      </c>
      <c r="G115" s="9">
        <f t="shared" si="6"/>
        <v>4.25858823</v>
      </c>
      <c r="H115" s="9">
        <f t="shared" si="5"/>
        <v>1.2040719752475932</v>
      </c>
      <c r="I115" s="9">
        <v>3450</v>
      </c>
      <c r="J115" s="9">
        <v>2.2510500000000002</v>
      </c>
      <c r="K115" s="9">
        <v>27.991700000000002</v>
      </c>
      <c r="L115" s="9">
        <v>813.26599999999996</v>
      </c>
      <c r="M115" s="9">
        <f t="shared" si="3"/>
        <v>330.63645100856837</v>
      </c>
      <c r="N115" s="11">
        <v>0.406553</v>
      </c>
    </row>
    <row r="116" spans="1:14" x14ac:dyDescent="0.2">
      <c r="A116" s="12" t="s">
        <v>37</v>
      </c>
      <c r="B116" s="13">
        <v>1017.862934095259</v>
      </c>
      <c r="C116" s="13">
        <v>1.733687E-3</v>
      </c>
      <c r="D116" s="13">
        <v>10.82322051457839</v>
      </c>
      <c r="E116" s="13">
        <v>0.3345396183918381</v>
      </c>
      <c r="F116" s="13">
        <v>25</v>
      </c>
      <c r="G116" s="13">
        <f t="shared" si="6"/>
        <v>5.67811764</v>
      </c>
      <c r="H116" s="13">
        <f t="shared" si="5"/>
        <v>1.6054293003301243</v>
      </c>
      <c r="I116" s="13">
        <v>3450</v>
      </c>
      <c r="J116" s="13">
        <v>2.7890020273586802</v>
      </c>
      <c r="K116" s="13">
        <v>15.982620000000001</v>
      </c>
      <c r="L116" s="13">
        <v>1007.619</v>
      </c>
      <c r="M116" s="13">
        <f t="shared" si="3"/>
        <v>251.71446081605453</v>
      </c>
      <c r="N116" s="15">
        <v>0.24981110000000001</v>
      </c>
    </row>
    <row r="117" spans="1:14" x14ac:dyDescent="0.2">
      <c r="A117" s="8" t="s">
        <v>38</v>
      </c>
      <c r="B117" s="9">
        <v>1006.227080903219</v>
      </c>
      <c r="C117" s="9">
        <v>2.3371414330874311E-2</v>
      </c>
      <c r="D117" s="9">
        <v>1.2617178003994509</v>
      </c>
      <c r="E117" s="9">
        <v>0.4406473675836946</v>
      </c>
      <c r="F117" s="9">
        <v>0</v>
      </c>
      <c r="G117" s="9">
        <f t="shared" si="6"/>
        <v>0</v>
      </c>
      <c r="H117" s="9">
        <f t="shared" si="5"/>
        <v>0</v>
      </c>
      <c r="I117" s="9">
        <v>3450</v>
      </c>
      <c r="J117" s="9">
        <v>1.51468780041025</v>
      </c>
      <c r="K117" s="26">
        <v>2805.9720000000002</v>
      </c>
      <c r="L117" s="9">
        <v>547.23119999999994</v>
      </c>
      <c r="M117" s="9">
        <f t="shared" si="3"/>
        <v>0</v>
      </c>
      <c r="N117" s="11">
        <v>0</v>
      </c>
    </row>
    <row r="118" spans="1:14" x14ac:dyDescent="0.2">
      <c r="A118" s="8" t="s">
        <v>38</v>
      </c>
      <c r="B118" s="9">
        <v>1006.227080903219</v>
      </c>
      <c r="C118" s="9">
        <v>2.3371414330874311E-2</v>
      </c>
      <c r="D118" s="9">
        <v>1.2617178003994509</v>
      </c>
      <c r="E118" s="9">
        <v>0.4406473675836946</v>
      </c>
      <c r="F118" s="9">
        <v>6.25</v>
      </c>
      <c r="G118" s="9">
        <f t="shared" si="6"/>
        <v>1.41952941</v>
      </c>
      <c r="H118" s="9">
        <f t="shared" si="5"/>
        <v>0.39676914846682465</v>
      </c>
      <c r="I118" s="9">
        <v>3450</v>
      </c>
      <c r="J118" s="9">
        <v>1.65</v>
      </c>
      <c r="K118" s="9">
        <v>37.027700000000003</v>
      </c>
      <c r="L118" s="9">
        <v>598.096</v>
      </c>
      <c r="M118" s="9">
        <f t="shared" si="3"/>
        <v>144.12311467710029</v>
      </c>
      <c r="N118" s="11">
        <v>0.24096999999999999</v>
      </c>
    </row>
    <row r="119" spans="1:14" x14ac:dyDescent="0.2">
      <c r="A119" s="8" t="s">
        <v>38</v>
      </c>
      <c r="B119" s="9">
        <v>1006.227080903219</v>
      </c>
      <c r="C119" s="9">
        <v>2.3371414330874311E-2</v>
      </c>
      <c r="D119" s="9">
        <v>1.2617178003994509</v>
      </c>
      <c r="E119" s="9">
        <v>0.4406473675836946</v>
      </c>
      <c r="F119" s="9">
        <v>12.5</v>
      </c>
      <c r="G119" s="9">
        <f t="shared" si="6"/>
        <v>2.83905882</v>
      </c>
      <c r="H119" s="9">
        <f t="shared" si="5"/>
        <v>0.7935382969336493</v>
      </c>
      <c r="I119" s="9">
        <v>3450</v>
      </c>
      <c r="J119" s="9">
        <v>1.8967862520776</v>
      </c>
      <c r="K119" s="9">
        <v>35.213720000000002</v>
      </c>
      <c r="L119" s="9">
        <v>685.27689999999996</v>
      </c>
      <c r="M119" s="9">
        <f t="shared" si="3"/>
        <v>274.12510124945919</v>
      </c>
      <c r="N119" s="11">
        <v>0.40002090000000001</v>
      </c>
    </row>
    <row r="120" spans="1:14" x14ac:dyDescent="0.2">
      <c r="A120" s="8" t="s">
        <v>38</v>
      </c>
      <c r="B120" s="9">
        <v>1006.227080903219</v>
      </c>
      <c r="C120" s="9">
        <v>2.3371414330874311E-2</v>
      </c>
      <c r="D120" s="9">
        <v>1.2617178003994509</v>
      </c>
      <c r="E120" s="9">
        <v>0.4406473675836946</v>
      </c>
      <c r="F120" s="9">
        <v>18.75</v>
      </c>
      <c r="G120" s="9">
        <f t="shared" si="6"/>
        <v>4.25858823</v>
      </c>
      <c r="H120" s="9">
        <f t="shared" si="5"/>
        <v>1.1903074454004738</v>
      </c>
      <c r="I120" s="9">
        <v>3450</v>
      </c>
      <c r="J120" s="9">
        <v>2.12</v>
      </c>
      <c r="K120" s="9">
        <v>41.442</v>
      </c>
      <c r="L120" s="9">
        <v>766.20100000000002</v>
      </c>
      <c r="M120" s="9">
        <f t="shared" si="3"/>
        <v>483.91475450393</v>
      </c>
      <c r="N120" s="11">
        <v>0.47917759999999998</v>
      </c>
    </row>
    <row r="121" spans="1:14" x14ac:dyDescent="0.2">
      <c r="A121" s="12" t="s">
        <v>38</v>
      </c>
      <c r="B121" s="13">
        <v>1006.227080903219</v>
      </c>
      <c r="C121" s="13">
        <v>2.3371414E-2</v>
      </c>
      <c r="D121" s="13">
        <v>1.2617178003994509</v>
      </c>
      <c r="E121" s="13">
        <v>0.4406473675836946</v>
      </c>
      <c r="F121" s="13">
        <v>25</v>
      </c>
      <c r="G121" s="13">
        <f t="shared" si="6"/>
        <v>5.67811764</v>
      </c>
      <c r="H121" s="13">
        <f t="shared" si="5"/>
        <v>1.5870765938672986</v>
      </c>
      <c r="I121" s="13">
        <v>3450</v>
      </c>
      <c r="J121" s="13">
        <v>1.96555416211932</v>
      </c>
      <c r="K121" s="13">
        <v>15.47809</v>
      </c>
      <c r="L121" s="13">
        <v>710.12159999999994</v>
      </c>
      <c r="M121" s="13">
        <f t="shared" si="3"/>
        <v>240.98180983992836</v>
      </c>
      <c r="N121" s="15">
        <v>0.33935290000000001</v>
      </c>
    </row>
    <row r="122" spans="1:14" x14ac:dyDescent="0.2">
      <c r="A122" s="8" t="s">
        <v>39</v>
      </c>
      <c r="B122" s="9">
        <v>1003.081453610291</v>
      </c>
      <c r="C122" s="9">
        <v>1.337604761461041E-2</v>
      </c>
      <c r="D122" s="9">
        <v>2.1396994423845168</v>
      </c>
      <c r="E122" s="9">
        <v>0.30569847403530997</v>
      </c>
      <c r="F122" s="9">
        <v>0</v>
      </c>
      <c r="G122" s="9">
        <f t="shared" si="6"/>
        <v>0</v>
      </c>
      <c r="H122" s="9">
        <f t="shared" si="5"/>
        <v>0</v>
      </c>
      <c r="I122" s="9">
        <v>3450</v>
      </c>
      <c r="J122" s="9">
        <v>1.6789375299694</v>
      </c>
      <c r="K122" s="26">
        <v>1480.684</v>
      </c>
      <c r="L122" s="9">
        <v>606.57180000000005</v>
      </c>
      <c r="M122" s="9">
        <f t="shared" si="3"/>
        <v>0</v>
      </c>
      <c r="N122" s="11">
        <v>0</v>
      </c>
    </row>
    <row r="123" spans="1:14" x14ac:dyDescent="0.2">
      <c r="A123" s="8" t="s">
        <v>39</v>
      </c>
      <c r="B123" s="9">
        <v>1003.081453610291</v>
      </c>
      <c r="C123" s="9">
        <v>1.337604761461041E-2</v>
      </c>
      <c r="D123" s="9">
        <v>2.1396994423845168</v>
      </c>
      <c r="E123" s="9">
        <v>0.30569847403530997</v>
      </c>
      <c r="F123" s="9">
        <v>12.5</v>
      </c>
      <c r="G123" s="9">
        <f t="shared" si="6"/>
        <v>2.83905882</v>
      </c>
      <c r="H123" s="9">
        <f t="shared" si="5"/>
        <v>0.79105756890297707</v>
      </c>
      <c r="I123" s="9">
        <v>3450</v>
      </c>
      <c r="J123" s="9">
        <v>1.81392340003107</v>
      </c>
      <c r="K123" s="9">
        <v>35.966410000000003</v>
      </c>
      <c r="L123" s="9">
        <v>655.34</v>
      </c>
      <c r="M123" s="9">
        <f t="shared" si="3"/>
        <v>279.1092234048914</v>
      </c>
      <c r="N123" s="11">
        <v>4.2589990000000002</v>
      </c>
    </row>
    <row r="124" spans="1:14" x14ac:dyDescent="0.2">
      <c r="A124" s="8" t="s">
        <v>39</v>
      </c>
      <c r="B124" s="9">
        <v>1003.081453610291</v>
      </c>
      <c r="C124" s="9">
        <v>1.337604761461041E-2</v>
      </c>
      <c r="D124" s="9">
        <v>2.1396994423845168</v>
      </c>
      <c r="E124" s="9">
        <v>0.30569847403530997</v>
      </c>
      <c r="F124" s="9">
        <v>18.75</v>
      </c>
      <c r="G124" s="9">
        <f>0.000063090196*F124*3600</f>
        <v>4.25858823</v>
      </c>
      <c r="H124" s="9">
        <f>G124*B124/3600</f>
        <v>1.1865863533544656</v>
      </c>
      <c r="I124" s="9">
        <v>3450</v>
      </c>
      <c r="J124" s="9">
        <v>2.0550899999999999</v>
      </c>
      <c r="K124" s="9">
        <v>32.223799999999997</v>
      </c>
      <c r="L124" s="9">
        <v>742.46799999999996</v>
      </c>
      <c r="M124" s="9">
        <f t="shared" si="3"/>
        <v>375.0983122789238</v>
      </c>
      <c r="N124" s="11">
        <v>0.50520399999999999</v>
      </c>
    </row>
    <row r="125" spans="1:14" x14ac:dyDescent="0.2">
      <c r="A125" s="12" t="s">
        <v>39</v>
      </c>
      <c r="B125" s="13">
        <v>1003.081453610291</v>
      </c>
      <c r="C125" s="24">
        <v>1.3376048E-2</v>
      </c>
      <c r="D125" s="13">
        <v>2.1396994423845168</v>
      </c>
      <c r="E125" s="13">
        <v>0.30569847403530997</v>
      </c>
      <c r="F125" s="13">
        <v>25</v>
      </c>
      <c r="G125" s="13">
        <f t="shared" si="6"/>
        <v>5.67811764</v>
      </c>
      <c r="H125" s="13">
        <f t="shared" si="5"/>
        <v>1.5821151378059541</v>
      </c>
      <c r="I125" s="13">
        <v>3450</v>
      </c>
      <c r="J125" s="13">
        <v>2.2151668164009699</v>
      </c>
      <c r="K125" s="13">
        <v>26.81522</v>
      </c>
      <c r="L125" s="13">
        <v>800.30250000000001</v>
      </c>
      <c r="M125" s="13">
        <f t="shared" si="3"/>
        <v>416.18694941370637</v>
      </c>
      <c r="N125" s="15">
        <v>0.52003710000000003</v>
      </c>
    </row>
    <row r="126" spans="1:14" x14ac:dyDescent="0.2">
      <c r="A126" s="8" t="s">
        <v>40</v>
      </c>
      <c r="B126" s="9">
        <v>1014.660341182607</v>
      </c>
      <c r="C126" s="9">
        <v>2.9574521263336189E-2</v>
      </c>
      <c r="D126" s="9">
        <v>15.27440998347512</v>
      </c>
      <c r="E126" s="9">
        <v>0.2017034547516855</v>
      </c>
      <c r="F126" s="9">
        <v>0</v>
      </c>
      <c r="G126" s="9">
        <f t="shared" si="6"/>
        <v>0</v>
      </c>
      <c r="H126" s="9">
        <f t="shared" si="5"/>
        <v>0</v>
      </c>
      <c r="I126" s="9">
        <v>3450</v>
      </c>
      <c r="J126" s="9">
        <v>1.4895746892263599</v>
      </c>
      <c r="K126" s="26">
        <v>114.072</v>
      </c>
      <c r="L126" s="9">
        <v>5.3815819999999999</v>
      </c>
      <c r="M126" s="9">
        <f t="shared" si="3"/>
        <v>0</v>
      </c>
      <c r="N126" s="11">
        <v>0</v>
      </c>
    </row>
    <row r="127" spans="1:14" x14ac:dyDescent="0.2">
      <c r="A127" s="8" t="s">
        <v>40</v>
      </c>
      <c r="B127" s="9">
        <v>1014.660341182607</v>
      </c>
      <c r="C127" s="9">
        <v>2.9574521263336189E-2</v>
      </c>
      <c r="D127" s="9">
        <v>15.27440998347512</v>
      </c>
      <c r="E127" s="9">
        <v>0.2017034547516855</v>
      </c>
      <c r="F127" s="9">
        <v>12.5</v>
      </c>
      <c r="G127" s="9">
        <f t="shared" si="6"/>
        <v>2.83905882</v>
      </c>
      <c r="H127" s="9">
        <f t="shared" si="5"/>
        <v>0.80018899748296934</v>
      </c>
      <c r="I127" s="9">
        <v>3450</v>
      </c>
      <c r="J127" s="9">
        <v>1.9680658401781099</v>
      </c>
      <c r="K127" s="9">
        <v>34.110230000000001</v>
      </c>
      <c r="L127" s="9">
        <v>711.029</v>
      </c>
      <c r="M127" s="9">
        <f t="shared" si="3"/>
        <v>267.76032763408853</v>
      </c>
      <c r="N127" s="11">
        <v>0.37658150000000001</v>
      </c>
    </row>
    <row r="128" spans="1:14" x14ac:dyDescent="0.2">
      <c r="A128" s="8" t="s">
        <v>40</v>
      </c>
      <c r="B128" s="9">
        <v>1014.660341182607</v>
      </c>
      <c r="C128" s="9">
        <v>2.9574521263336189E-2</v>
      </c>
      <c r="D128" s="9">
        <v>15.27440998347512</v>
      </c>
      <c r="E128" s="9">
        <v>0.2017034547516855</v>
      </c>
      <c r="F128" s="9">
        <v>18.75</v>
      </c>
      <c r="G128" s="9">
        <f>0.000063090196*F128*3600</f>
        <v>4.25858823</v>
      </c>
      <c r="H128" s="9">
        <f>G128*B128/3600</f>
        <v>1.200283496224454</v>
      </c>
      <c r="I128" s="9">
        <v>3450</v>
      </c>
      <c r="J128" s="9">
        <v>2.0699999999999998</v>
      </c>
      <c r="K128" s="9">
        <v>30.116</v>
      </c>
      <c r="L128" s="9">
        <v>750.9</v>
      </c>
      <c r="M128" s="9">
        <f t="shared" si="3"/>
        <v>354.60930754622041</v>
      </c>
      <c r="N128" s="11">
        <v>0.47210000000000002</v>
      </c>
    </row>
    <row r="129" spans="1:14" x14ac:dyDescent="0.2">
      <c r="A129" s="12" t="s">
        <v>40</v>
      </c>
      <c r="B129" s="13">
        <v>1014.660341182607</v>
      </c>
      <c r="C129" s="13">
        <v>2.9574521263336189E-2</v>
      </c>
      <c r="D129" s="13">
        <v>15.27440998347512</v>
      </c>
      <c r="E129" s="13">
        <v>0.2017034547516855</v>
      </c>
      <c r="F129" s="13">
        <v>25</v>
      </c>
      <c r="G129" s="13">
        <f t="shared" si="6"/>
        <v>5.67811764</v>
      </c>
      <c r="H129" s="13">
        <f t="shared" si="5"/>
        <v>1.6003779949659387</v>
      </c>
      <c r="I129" s="13">
        <v>3450</v>
      </c>
      <c r="J129" s="13">
        <v>2.2264849062533898</v>
      </c>
      <c r="K129" s="13">
        <v>24.371929999999999</v>
      </c>
      <c r="L129" s="13">
        <v>804.39149999999995</v>
      </c>
      <c r="M129" s="13">
        <f t="shared" si="3"/>
        <v>382.63218757980053</v>
      </c>
      <c r="N129" s="15">
        <v>0.47567910000000002</v>
      </c>
    </row>
    <row r="130" spans="1:14" x14ac:dyDescent="0.2">
      <c r="A130" s="8" t="s">
        <v>41</v>
      </c>
      <c r="B130" s="9">
        <v>1008.485298920102</v>
      </c>
      <c r="C130" s="9">
        <v>1.71059948873526E-2</v>
      </c>
      <c r="D130" s="9">
        <v>9.9110148632339889</v>
      </c>
      <c r="E130" s="9">
        <v>0.44011177105192972</v>
      </c>
      <c r="F130" s="9">
        <v>0</v>
      </c>
      <c r="G130" s="9">
        <f t="shared" si="6"/>
        <v>0</v>
      </c>
      <c r="H130" s="9">
        <f t="shared" si="5"/>
        <v>0</v>
      </c>
      <c r="I130" s="9">
        <v>3450</v>
      </c>
      <c r="J130" s="9">
        <v>1.84800697202843</v>
      </c>
      <c r="K130" s="26">
        <v>10307.82</v>
      </c>
      <c r="L130" s="9">
        <v>667.65380000000005</v>
      </c>
      <c r="M130" s="9">
        <f t="shared" si="3"/>
        <v>0</v>
      </c>
      <c r="N130" s="11">
        <v>0</v>
      </c>
    </row>
    <row r="131" spans="1:14" x14ac:dyDescent="0.2">
      <c r="A131" s="8" t="s">
        <v>41</v>
      </c>
      <c r="B131" s="9">
        <v>1008.485298920102</v>
      </c>
      <c r="C131" s="9">
        <v>1.71059948873526E-2</v>
      </c>
      <c r="D131" s="9">
        <v>9.9110148632339889</v>
      </c>
      <c r="E131" s="9">
        <v>0.44011177105192972</v>
      </c>
      <c r="F131" s="9">
        <v>6.25</v>
      </c>
      <c r="G131" s="9">
        <f>0.000063090196*F131*3600</f>
        <v>1.41952941</v>
      </c>
      <c r="H131" s="9">
        <f>G131*B131/3600</f>
        <v>0.39765959482492386</v>
      </c>
      <c r="I131" s="9">
        <v>3450</v>
      </c>
      <c r="J131" s="9">
        <v>2.1</v>
      </c>
      <c r="K131" s="9">
        <v>31.545999999999999</v>
      </c>
      <c r="L131" s="9">
        <v>769.7</v>
      </c>
      <c r="M131" s="9">
        <f t="shared" ref="M131:M151" si="7">B131*9.81*G131/3600*K131</f>
        <v>123.06222756358456</v>
      </c>
      <c r="N131" s="11">
        <v>0.15987499999999999</v>
      </c>
    </row>
    <row r="132" spans="1:14" x14ac:dyDescent="0.2">
      <c r="A132" s="8" t="s">
        <v>41</v>
      </c>
      <c r="B132" s="9">
        <v>1008.485298920102</v>
      </c>
      <c r="C132" s="9">
        <v>1.71059948873526E-2</v>
      </c>
      <c r="D132" s="9">
        <v>9.9110148632339889</v>
      </c>
      <c r="E132" s="9">
        <v>0.44011177105192972</v>
      </c>
      <c r="F132" s="9">
        <v>12.5</v>
      </c>
      <c r="G132" s="9">
        <f t="shared" si="6"/>
        <v>2.83905882</v>
      </c>
      <c r="H132" s="9">
        <f t="shared" si="5"/>
        <v>0.79531918964984771</v>
      </c>
      <c r="I132" s="9">
        <v>3450</v>
      </c>
      <c r="J132" s="9">
        <v>2.3634101701095598</v>
      </c>
      <c r="K132" s="9">
        <v>27.02881</v>
      </c>
      <c r="L132" s="9">
        <v>853.86030000000005</v>
      </c>
      <c r="M132" s="9">
        <f t="shared" si="7"/>
        <v>210.88097172338109</v>
      </c>
      <c r="N132" s="11">
        <v>0.24697359999999999</v>
      </c>
    </row>
    <row r="133" spans="1:14" x14ac:dyDescent="0.2">
      <c r="A133" s="8" t="s">
        <v>41</v>
      </c>
      <c r="B133" s="9">
        <v>1008.485298920102</v>
      </c>
      <c r="C133" s="9">
        <v>1.71059948873526E-2</v>
      </c>
      <c r="D133" s="9">
        <v>9.9110148632339889</v>
      </c>
      <c r="E133" s="9">
        <v>0.44011177105192972</v>
      </c>
      <c r="F133" s="9">
        <v>18.75</v>
      </c>
      <c r="G133" s="9">
        <f>0.000063090196*F133*3600</f>
        <v>4.25858823</v>
      </c>
      <c r="H133" s="9">
        <f>G133*B133/3600</f>
        <v>1.1929787844747717</v>
      </c>
      <c r="I133" s="9">
        <v>3450</v>
      </c>
      <c r="J133" s="9">
        <v>2.5</v>
      </c>
      <c r="K133" s="9">
        <v>21.4114</v>
      </c>
      <c r="L133" s="9">
        <v>935</v>
      </c>
      <c r="M133" s="9">
        <f t="shared" si="7"/>
        <v>250.58022372930967</v>
      </c>
      <c r="N133" s="11">
        <v>0.26800200000000002</v>
      </c>
    </row>
    <row r="134" spans="1:14" x14ac:dyDescent="0.2">
      <c r="A134" s="12" t="s">
        <v>41</v>
      </c>
      <c r="B134" s="13">
        <v>1008.485298920102</v>
      </c>
      <c r="C134" s="13">
        <v>1.71059948873526E-2</v>
      </c>
      <c r="D134" s="13">
        <v>9.9110148632339889</v>
      </c>
      <c r="E134" s="13">
        <v>0.44011177105192972</v>
      </c>
      <c r="F134" s="13">
        <v>25</v>
      </c>
      <c r="G134" s="13">
        <f t="shared" si="6"/>
        <v>5.67811764</v>
      </c>
      <c r="H134" s="13">
        <f t="shared" ref="H134:H151" si="8">G134*B134/3600</f>
        <v>1.5906383792996954</v>
      </c>
      <c r="I134" s="13">
        <v>3450</v>
      </c>
      <c r="J134" s="13">
        <v>2.7537656739564298</v>
      </c>
      <c r="K134" s="13">
        <v>13.24952</v>
      </c>
      <c r="L134" s="13">
        <v>994.88919999999996</v>
      </c>
      <c r="M134" s="13">
        <f t="shared" si="7"/>
        <v>206.74766313932224</v>
      </c>
      <c r="N134" s="15">
        <v>0.20780979999999999</v>
      </c>
    </row>
    <row r="135" spans="1:14" x14ac:dyDescent="0.2">
      <c r="A135" s="8" t="s">
        <v>42</v>
      </c>
      <c r="B135" s="9">
        <v>1002.141348928307</v>
      </c>
      <c r="C135" s="9">
        <v>1.2607354402938251E-3</v>
      </c>
      <c r="D135" s="9">
        <v>0.61590488025277801</v>
      </c>
      <c r="E135" s="9">
        <v>0.57227549399620492</v>
      </c>
      <c r="F135" s="9">
        <v>0</v>
      </c>
      <c r="G135" s="9">
        <f t="shared" si="6"/>
        <v>0</v>
      </c>
      <c r="H135" s="9">
        <f t="shared" si="8"/>
        <v>0</v>
      </c>
      <c r="I135" s="9">
        <v>3450</v>
      </c>
      <c r="J135" s="9">
        <v>1.7827247384531899</v>
      </c>
      <c r="K135" s="26">
        <v>25676.74</v>
      </c>
      <c r="L135" s="9">
        <v>644.0684</v>
      </c>
      <c r="M135" s="9">
        <f t="shared" si="7"/>
        <v>0</v>
      </c>
      <c r="N135" s="11">
        <v>0</v>
      </c>
    </row>
    <row r="136" spans="1:14" x14ac:dyDescent="0.2">
      <c r="A136" s="8" t="s">
        <v>42</v>
      </c>
      <c r="B136" s="9">
        <v>1002.141348928307</v>
      </c>
      <c r="C136" s="9">
        <v>1.2607354402938251E-3</v>
      </c>
      <c r="D136" s="9">
        <v>0.61590488025277801</v>
      </c>
      <c r="E136" s="9">
        <v>0.57227549399620492</v>
      </c>
      <c r="F136" s="9">
        <v>6.25</v>
      </c>
      <c r="G136" s="9">
        <f t="shared" si="6"/>
        <v>1.41952941</v>
      </c>
      <c r="H136" s="9">
        <f t="shared" si="8"/>
        <v>0.39515808827244547</v>
      </c>
      <c r="I136" s="9">
        <v>3450</v>
      </c>
      <c r="J136" s="9">
        <v>1.7</v>
      </c>
      <c r="K136" s="9">
        <v>37.253700000000002</v>
      </c>
      <c r="L136" s="9">
        <v>614</v>
      </c>
      <c r="M136" s="9">
        <f t="shared" si="7"/>
        <v>144.41399956486777</v>
      </c>
      <c r="N136" s="11">
        <v>0.234929</v>
      </c>
    </row>
    <row r="137" spans="1:14" x14ac:dyDescent="0.2">
      <c r="A137" s="8" t="s">
        <v>42</v>
      </c>
      <c r="B137" s="9">
        <v>1002.141348928307</v>
      </c>
      <c r="C137" s="9">
        <v>1.2607354402938251E-3</v>
      </c>
      <c r="D137" s="9">
        <v>0.61590488025277801</v>
      </c>
      <c r="E137" s="9">
        <v>0.57227549399620492</v>
      </c>
      <c r="F137" s="9">
        <v>12.5</v>
      </c>
      <c r="G137" s="9">
        <f t="shared" si="6"/>
        <v>2.83905882</v>
      </c>
      <c r="H137" s="9">
        <f t="shared" si="8"/>
        <v>0.79031617654489095</v>
      </c>
      <c r="I137" s="9">
        <v>3450</v>
      </c>
      <c r="J137" s="9">
        <v>1.9521370928441399</v>
      </c>
      <c r="K137" s="9">
        <v>34.039909999999999</v>
      </c>
      <c r="L137" s="9">
        <v>705.27419999999995</v>
      </c>
      <c r="M137" s="9">
        <f t="shared" si="7"/>
        <v>263.91147982230689</v>
      </c>
      <c r="N137" s="11">
        <v>0.374197</v>
      </c>
    </row>
    <row r="138" spans="1:14" x14ac:dyDescent="0.2">
      <c r="A138" s="8" t="s">
        <v>42</v>
      </c>
      <c r="B138" s="9">
        <v>1002.141348928307</v>
      </c>
      <c r="C138" s="9">
        <v>1.2607354402938251E-3</v>
      </c>
      <c r="D138" s="9">
        <v>0.61590488025277801</v>
      </c>
      <c r="E138" s="9">
        <v>0.57227549399620492</v>
      </c>
      <c r="F138" s="9">
        <v>18.75</v>
      </c>
      <c r="G138" s="9">
        <f>0.000063090196*F138*3600</f>
        <v>4.25858823</v>
      </c>
      <c r="H138" s="9">
        <f>G138*B138/3600</f>
        <v>1.1854742648173366</v>
      </c>
      <c r="I138" s="9">
        <v>3450</v>
      </c>
      <c r="J138" s="9">
        <v>2.1</v>
      </c>
      <c r="K138" s="9">
        <v>29.804400000000001</v>
      </c>
      <c r="L138" s="9">
        <v>774</v>
      </c>
      <c r="M138" s="9">
        <f t="shared" si="7"/>
        <v>346.61034543933715</v>
      </c>
      <c r="N138" s="11">
        <v>0.44751200000000002</v>
      </c>
    </row>
    <row r="139" spans="1:14" x14ac:dyDescent="0.2">
      <c r="A139" s="12" t="s">
        <v>42</v>
      </c>
      <c r="B139" s="13">
        <v>1002.141348928307</v>
      </c>
      <c r="C139" s="13">
        <v>1.2607354402938251E-3</v>
      </c>
      <c r="D139" s="13">
        <v>0.61590488025277801</v>
      </c>
      <c r="E139" s="13">
        <v>0.57227549399620492</v>
      </c>
      <c r="F139" s="13">
        <v>25</v>
      </c>
      <c r="G139" s="13">
        <f t="shared" si="6"/>
        <v>5.67811764</v>
      </c>
      <c r="H139" s="13">
        <f t="shared" si="8"/>
        <v>1.5806323530897819</v>
      </c>
      <c r="I139" s="13">
        <v>3450</v>
      </c>
      <c r="J139" s="13">
        <v>2.3020290461058499</v>
      </c>
      <c r="K139" s="13">
        <v>23.216470000000001</v>
      </c>
      <c r="L139" s="13">
        <v>831.68430000000001</v>
      </c>
      <c r="M139" s="13">
        <f t="shared" si="7"/>
        <v>359.99466238014105</v>
      </c>
      <c r="N139" s="15">
        <v>0.43285020000000002</v>
      </c>
    </row>
    <row r="140" spans="1:14" x14ac:dyDescent="0.2">
      <c r="A140" s="8" t="s">
        <v>43</v>
      </c>
      <c r="B140" s="9">
        <v>1019.053269256084</v>
      </c>
      <c r="C140" s="9">
        <v>1.9963407016259621E-2</v>
      </c>
      <c r="D140" s="9">
        <v>38.611731345047588</v>
      </c>
      <c r="E140" s="9">
        <v>0.3693264653471704</v>
      </c>
      <c r="F140" s="9">
        <v>0</v>
      </c>
      <c r="G140" s="9">
        <f t="shared" si="6"/>
        <v>0</v>
      </c>
      <c r="H140" s="9">
        <f t="shared" si="8"/>
        <v>0</v>
      </c>
      <c r="I140" s="9">
        <v>3450</v>
      </c>
      <c r="J140" s="9">
        <v>2.1910031624224899</v>
      </c>
      <c r="K140" s="9">
        <v>31.381720000000001</v>
      </c>
      <c r="L140" s="9">
        <v>791.57249999999999</v>
      </c>
      <c r="M140" s="9">
        <f t="shared" si="7"/>
        <v>0</v>
      </c>
      <c r="N140" s="11">
        <v>0</v>
      </c>
    </row>
    <row r="141" spans="1:14" x14ac:dyDescent="0.2">
      <c r="A141" s="8" t="s">
        <v>43</v>
      </c>
      <c r="B141" s="9">
        <v>1019.053269256084</v>
      </c>
      <c r="C141" s="9">
        <v>1.9963407016259621E-2</v>
      </c>
      <c r="D141" s="9">
        <v>38.611731345047588</v>
      </c>
      <c r="E141" s="9">
        <v>0.3693264653471704</v>
      </c>
      <c r="F141" s="9">
        <v>12.5</v>
      </c>
      <c r="G141" s="9">
        <f t="shared" si="6"/>
        <v>2.83905882</v>
      </c>
      <c r="H141" s="9">
        <f t="shared" si="8"/>
        <v>0.80365338114758889</v>
      </c>
      <c r="I141" s="9">
        <v>3450</v>
      </c>
      <c r="J141" s="9">
        <v>2.7846392771731399</v>
      </c>
      <c r="K141" s="9">
        <v>19.238399999999999</v>
      </c>
      <c r="L141" s="9">
        <v>-1006.043</v>
      </c>
      <c r="M141" s="9">
        <f t="shared" si="7"/>
        <v>151.6724610892025</v>
      </c>
      <c r="N141" s="11">
        <v>0.15076139999999999</v>
      </c>
    </row>
    <row r="142" spans="1:14" x14ac:dyDescent="0.2">
      <c r="A142" s="12" t="s">
        <v>43</v>
      </c>
      <c r="B142" s="13">
        <v>1019.053269256084</v>
      </c>
      <c r="C142" s="13">
        <v>1.9963407016259621E-2</v>
      </c>
      <c r="D142" s="13">
        <v>38.611731345047588</v>
      </c>
      <c r="E142" s="13">
        <v>0.3693264653471704</v>
      </c>
      <c r="F142" s="13">
        <v>25</v>
      </c>
      <c r="G142" s="13">
        <f t="shared" si="6"/>
        <v>5.67811764</v>
      </c>
      <c r="H142" s="13">
        <f t="shared" si="8"/>
        <v>1.6073067622951778</v>
      </c>
      <c r="I142" s="13">
        <v>3450</v>
      </c>
      <c r="J142" s="13">
        <v>3.2215225656490101</v>
      </c>
      <c r="K142" s="13">
        <v>4.9421799999999996</v>
      </c>
      <c r="L142" s="13">
        <v>1163.8820000000001</v>
      </c>
      <c r="M142" s="13">
        <f t="shared" si="7"/>
        <v>77.926709471248628</v>
      </c>
      <c r="N142" s="15">
        <v>6.6954139999999995E-2</v>
      </c>
    </row>
    <row r="143" spans="1:14" x14ac:dyDescent="0.2">
      <c r="A143" s="8" t="s">
        <v>44</v>
      </c>
      <c r="B143" s="9">
        <v>1014.780719322432</v>
      </c>
      <c r="C143" s="9">
        <v>5.666713896555005E-3</v>
      </c>
      <c r="D143" s="9">
        <v>8.0441477261988794</v>
      </c>
      <c r="E143" s="9">
        <v>0.5456551776535512</v>
      </c>
      <c r="F143" s="9">
        <v>0</v>
      </c>
      <c r="G143" s="9">
        <f t="shared" si="6"/>
        <v>0</v>
      </c>
      <c r="H143" s="9">
        <f t="shared" si="8"/>
        <v>0</v>
      </c>
      <c r="I143" s="9">
        <v>3450</v>
      </c>
      <c r="J143" s="9">
        <v>1.93069698703878</v>
      </c>
      <c r="K143" s="9">
        <v>35.553019999999997</v>
      </c>
      <c r="L143" s="9">
        <v>697.52829999999994</v>
      </c>
      <c r="M143" s="9">
        <f t="shared" si="7"/>
        <v>0</v>
      </c>
      <c r="N143" s="11">
        <v>0</v>
      </c>
    </row>
    <row r="144" spans="1:14" x14ac:dyDescent="0.2">
      <c r="A144" s="8" t="s">
        <v>44</v>
      </c>
      <c r="B144" s="9">
        <v>1014.780719322432</v>
      </c>
      <c r="C144" s="9">
        <v>5.666713896555005E-3</v>
      </c>
      <c r="D144" s="9">
        <v>8.0441477261988794</v>
      </c>
      <c r="E144" s="9">
        <v>0.5456551776535512</v>
      </c>
      <c r="F144" s="9">
        <v>12.5</v>
      </c>
      <c r="G144" s="9">
        <f t="shared" si="6"/>
        <v>2.83905882</v>
      </c>
      <c r="H144" s="9">
        <f t="shared" si="8"/>
        <v>0.80028393098841522</v>
      </c>
      <c r="I144" s="9">
        <v>3450</v>
      </c>
      <c r="J144" s="9">
        <v>2.4359261425796501</v>
      </c>
      <c r="K144" s="9">
        <v>26.39771</v>
      </c>
      <c r="L144" s="9">
        <v>880.05909999999994</v>
      </c>
      <c r="M144" s="9">
        <f t="shared" si="7"/>
        <v>207.24275528462249</v>
      </c>
      <c r="N144" s="11">
        <v>0.23548740000000001</v>
      </c>
    </row>
    <row r="145" spans="1:14" x14ac:dyDescent="0.2">
      <c r="A145" s="12" t="s">
        <v>44</v>
      </c>
      <c r="B145" s="13">
        <v>1014.780719322432</v>
      </c>
      <c r="C145" s="13">
        <v>5.666713896555005E-3</v>
      </c>
      <c r="D145" s="13">
        <v>8.0441477261988794</v>
      </c>
      <c r="E145" s="13">
        <v>0.5456551776535512</v>
      </c>
      <c r="F145" s="13">
        <v>25</v>
      </c>
      <c r="G145" s="13">
        <f t="shared" si="6"/>
        <v>5.67811764</v>
      </c>
      <c r="H145" s="13">
        <f t="shared" si="8"/>
        <v>1.6005678619768304</v>
      </c>
      <c r="I145" s="13">
        <v>3450</v>
      </c>
      <c r="J145" s="13">
        <v>2.8157847426256599</v>
      </c>
      <c r="K145" s="13">
        <v>12.7395</v>
      </c>
      <c r="L145" s="13">
        <v>1017.296</v>
      </c>
      <c r="M145" s="13">
        <f t="shared" si="7"/>
        <v>200.0301602637841</v>
      </c>
      <c r="N145" s="15">
        <v>0.19662940000000001</v>
      </c>
    </row>
    <row r="146" spans="1:14" x14ac:dyDescent="0.2">
      <c r="A146" s="8" t="s">
        <v>45</v>
      </c>
      <c r="B146" s="9">
        <v>1016.564308887603</v>
      </c>
      <c r="C146" s="9">
        <v>8.5313804579351827E-3</v>
      </c>
      <c r="D146" s="9">
        <v>40.3355557978172</v>
      </c>
      <c r="E146" s="9">
        <v>0.40139213891517411</v>
      </c>
      <c r="F146" s="9">
        <v>0</v>
      </c>
      <c r="G146" s="9">
        <f t="shared" si="6"/>
        <v>0</v>
      </c>
      <c r="H146" s="9">
        <f t="shared" si="8"/>
        <v>0</v>
      </c>
      <c r="I146" s="9">
        <v>3450</v>
      </c>
      <c r="J146" s="9">
        <v>2.3028232935712998</v>
      </c>
      <c r="K146" s="9">
        <v>29.37454</v>
      </c>
      <c r="L146" s="9">
        <v>831.97130000000004</v>
      </c>
      <c r="M146" s="9">
        <f t="shared" si="7"/>
        <v>0</v>
      </c>
      <c r="N146" s="11">
        <v>0</v>
      </c>
    </row>
    <row r="147" spans="1:14" x14ac:dyDescent="0.2">
      <c r="A147" s="8" t="s">
        <v>45</v>
      </c>
      <c r="B147" s="9">
        <v>1016.564308887603</v>
      </c>
      <c r="C147" s="9">
        <v>8.5313804579351827E-3</v>
      </c>
      <c r="D147" s="9">
        <v>40.3355557978172</v>
      </c>
      <c r="E147" s="9">
        <v>0.40139213891517411</v>
      </c>
      <c r="F147" s="9">
        <v>12.5</v>
      </c>
      <c r="G147" s="9">
        <f t="shared" si="6"/>
        <v>2.83905882</v>
      </c>
      <c r="H147" s="9">
        <f t="shared" si="8"/>
        <v>0.80169051867904273</v>
      </c>
      <c r="I147" s="9">
        <v>3450</v>
      </c>
      <c r="J147" s="9">
        <v>2.9344091829006298</v>
      </c>
      <c r="K147" s="9">
        <v>15.32724</v>
      </c>
      <c r="L147" s="9">
        <v>1060.153</v>
      </c>
      <c r="M147" s="9">
        <f t="shared" si="7"/>
        <v>120.54236628793326</v>
      </c>
      <c r="N147" s="11">
        <v>0.11370280000000001</v>
      </c>
    </row>
    <row r="148" spans="1:14" x14ac:dyDescent="0.2">
      <c r="A148" s="12" t="s">
        <v>45</v>
      </c>
      <c r="B148" s="13">
        <v>1016.564308887603</v>
      </c>
      <c r="C148" s="13">
        <v>8.5313804579351827E-3</v>
      </c>
      <c r="D148" s="13">
        <v>40.3355557978172</v>
      </c>
      <c r="E148" s="13">
        <v>0.40139213891517411</v>
      </c>
      <c r="F148" s="13">
        <v>25</v>
      </c>
      <c r="G148" s="13">
        <f t="shared" si="6"/>
        <v>5.67811764</v>
      </c>
      <c r="H148" s="13">
        <f t="shared" si="8"/>
        <v>1.6033810373580855</v>
      </c>
      <c r="I148" s="13">
        <v>3450</v>
      </c>
      <c r="J148" s="13">
        <v>3.40434190343223</v>
      </c>
      <c r="K148" s="13">
        <v>1.11602</v>
      </c>
      <c r="L148" s="13">
        <v>1229.931</v>
      </c>
      <c r="M148" s="13">
        <f t="shared" si="7"/>
        <v>17.554066045114354</v>
      </c>
      <c r="N148" s="15">
        <v>1.4272399999999999E-2</v>
      </c>
    </row>
    <row r="149" spans="1:14" x14ac:dyDescent="0.2">
      <c r="A149" s="8" t="s">
        <v>46</v>
      </c>
      <c r="B149" s="9">
        <v>1016.660200468942</v>
      </c>
      <c r="C149" s="9">
        <v>1.004509423472204E-2</v>
      </c>
      <c r="D149" s="9">
        <v>12.161415518190321</v>
      </c>
      <c r="E149" s="9">
        <v>0.47819844730900829</v>
      </c>
      <c r="F149" s="9">
        <v>0</v>
      </c>
      <c r="G149" s="9">
        <f t="shared" si="6"/>
        <v>0</v>
      </c>
      <c r="H149" s="9">
        <f t="shared" si="8"/>
        <v>0</v>
      </c>
      <c r="I149" s="9">
        <v>3450</v>
      </c>
      <c r="J149" s="9">
        <v>1.9525058581611701</v>
      </c>
      <c r="K149" s="9">
        <v>35.290779999999998</v>
      </c>
      <c r="L149" s="9">
        <v>705.40750000000003</v>
      </c>
      <c r="M149" s="9">
        <f t="shared" si="7"/>
        <v>0</v>
      </c>
      <c r="N149" s="11">
        <v>0</v>
      </c>
    </row>
    <row r="150" spans="1:14" x14ac:dyDescent="0.2">
      <c r="A150" s="8" t="s">
        <v>46</v>
      </c>
      <c r="B150" s="9">
        <v>1016.660200468942</v>
      </c>
      <c r="C150" s="9">
        <v>1.004509423472204E-2</v>
      </c>
      <c r="D150" s="9">
        <v>12.161415518190321</v>
      </c>
      <c r="E150" s="9">
        <v>0.47819844730900829</v>
      </c>
      <c r="F150" s="9">
        <v>12.5</v>
      </c>
      <c r="G150" s="9">
        <f t="shared" si="6"/>
        <v>2.83905882</v>
      </c>
      <c r="H150" s="9">
        <f t="shared" si="8"/>
        <v>0.80176614141231051</v>
      </c>
      <c r="I150" s="9">
        <v>3450</v>
      </c>
      <c r="J150" s="9">
        <v>2.4737091187845901</v>
      </c>
      <c r="K150" s="9">
        <v>2.6332360000000001</v>
      </c>
      <c r="L150" s="9">
        <v>893.70939999999996</v>
      </c>
      <c r="M150" s="9">
        <f t="shared" si="7"/>
        <v>20.711259172721753</v>
      </c>
      <c r="N150" s="11">
        <v>0.2317449</v>
      </c>
    </row>
    <row r="151" spans="1:14" x14ac:dyDescent="0.2">
      <c r="A151" s="12" t="s">
        <v>46</v>
      </c>
      <c r="B151" s="13">
        <v>1016.660200468942</v>
      </c>
      <c r="C151" s="13">
        <v>1.004509423472204E-2</v>
      </c>
      <c r="D151" s="13">
        <v>12.161415518190321</v>
      </c>
      <c r="E151" s="13">
        <v>0.47819844730900829</v>
      </c>
      <c r="F151" s="13">
        <v>25</v>
      </c>
      <c r="G151" s="13">
        <f t="shared" si="6"/>
        <v>5.67811764</v>
      </c>
      <c r="H151" s="13">
        <f t="shared" si="8"/>
        <v>1.603532282824621</v>
      </c>
      <c r="I151" s="13">
        <v>3450</v>
      </c>
      <c r="J151" s="13">
        <v>2.8389435939980499</v>
      </c>
      <c r="K151" s="13">
        <v>12.426439999999999</v>
      </c>
      <c r="L151" s="13">
        <v>1025.662</v>
      </c>
      <c r="M151" s="13">
        <f t="shared" si="7"/>
        <v>195.47599944272102</v>
      </c>
      <c r="N151" s="15">
        <v>0.19058510000000001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EE28-A315-2E49-8CA2-4E740C3B9671}">
  <dimension ref="A1:K58"/>
  <sheetViews>
    <sheetView topLeftCell="A55" workbookViewId="0">
      <selection activeCell="C9" sqref="C9"/>
    </sheetView>
  </sheetViews>
  <sheetFormatPr baseColWidth="10" defaultRowHeight="16" x14ac:dyDescent="0.2"/>
  <sheetData>
    <row r="1" spans="1:11" ht="34" x14ac:dyDescent="0.2">
      <c r="A1" s="1" t="s">
        <v>0</v>
      </c>
      <c r="B1" s="2" t="s">
        <v>1</v>
      </c>
      <c r="C1" s="2" t="s">
        <v>3</v>
      </c>
      <c r="D1" s="2" t="s">
        <v>4</v>
      </c>
      <c r="E1" s="3" t="s">
        <v>5</v>
      </c>
      <c r="F1" s="3" t="s">
        <v>7</v>
      </c>
      <c r="G1" s="3" t="s">
        <v>10</v>
      </c>
      <c r="H1" s="3" t="s">
        <v>13</v>
      </c>
      <c r="I1" s="3" t="s">
        <v>9</v>
      </c>
      <c r="J1" s="3" t="s">
        <v>11</v>
      </c>
      <c r="K1" s="3" t="s">
        <v>12</v>
      </c>
    </row>
    <row r="2" spans="1:11" x14ac:dyDescent="0.2">
      <c r="A2" s="27" t="s">
        <v>14</v>
      </c>
      <c r="B2" s="28">
        <v>997</v>
      </c>
      <c r="C2" s="28">
        <v>1E-3</v>
      </c>
      <c r="D2" s="28">
        <v>1</v>
      </c>
      <c r="E2" s="28">
        <v>0</v>
      </c>
      <c r="F2" s="28">
        <f>B2*0.000063090196*E2</f>
        <v>0</v>
      </c>
      <c r="G2" s="28" cm="1">
        <f t="array" ref="G2:G7">TRANSPOSE([1]Agua!$B$63:$G$63)</f>
        <v>46</v>
      </c>
      <c r="H2" s="28" cm="1">
        <f t="array" ref="H2:H7">TRANSPOSE([1]Agua!$B$15:$G$15)</f>
        <v>0</v>
      </c>
      <c r="I2" s="28">
        <v>1</v>
      </c>
      <c r="J2" s="28">
        <v>1</v>
      </c>
      <c r="K2" s="30">
        <v>1</v>
      </c>
    </row>
    <row r="3" spans="1:11" x14ac:dyDescent="0.2">
      <c r="A3" s="31" t="s">
        <v>14</v>
      </c>
      <c r="B3">
        <v>997</v>
      </c>
      <c r="C3">
        <v>1E-3</v>
      </c>
      <c r="D3">
        <v>1</v>
      </c>
      <c r="E3">
        <v>4</v>
      </c>
      <c r="F3">
        <f t="shared" ref="F3:F58" si="0">B3*0.000063090196*E3</f>
        <v>0.251603701648</v>
      </c>
      <c r="G3">
        <v>43.5</v>
      </c>
      <c r="H3">
        <v>0.17429788616688024</v>
      </c>
      <c r="I3">
        <v>1</v>
      </c>
      <c r="J3">
        <v>1</v>
      </c>
      <c r="K3" s="32">
        <v>1</v>
      </c>
    </row>
    <row r="4" spans="1:11" x14ac:dyDescent="0.2">
      <c r="A4" s="31" t="s">
        <v>14</v>
      </c>
      <c r="B4">
        <v>997</v>
      </c>
      <c r="C4">
        <v>1E-3</v>
      </c>
      <c r="D4">
        <v>1</v>
      </c>
      <c r="E4">
        <v>8</v>
      </c>
      <c r="F4">
        <f t="shared" si="0"/>
        <v>0.503207403296</v>
      </c>
      <c r="G4">
        <v>42</v>
      </c>
      <c r="H4">
        <v>0.29667197972521248</v>
      </c>
      <c r="I4">
        <v>1</v>
      </c>
      <c r="J4">
        <v>1</v>
      </c>
      <c r="K4" s="32">
        <v>1</v>
      </c>
    </row>
    <row r="5" spans="1:11" x14ac:dyDescent="0.2">
      <c r="A5" s="31" t="s">
        <v>14</v>
      </c>
      <c r="B5">
        <v>997</v>
      </c>
      <c r="C5">
        <v>1E-3</v>
      </c>
      <c r="D5">
        <v>1</v>
      </c>
      <c r="E5">
        <v>12</v>
      </c>
      <c r="F5">
        <f t="shared" si="0"/>
        <v>0.75481110494400006</v>
      </c>
      <c r="G5">
        <v>39</v>
      </c>
      <c r="H5">
        <v>0.40082503546445664</v>
      </c>
      <c r="I5">
        <v>1</v>
      </c>
      <c r="J5">
        <v>1</v>
      </c>
      <c r="K5" s="32">
        <v>1</v>
      </c>
    </row>
    <row r="6" spans="1:11" x14ac:dyDescent="0.2">
      <c r="A6" s="31" t="s">
        <v>14</v>
      </c>
      <c r="B6">
        <v>997</v>
      </c>
      <c r="C6">
        <v>1E-3</v>
      </c>
      <c r="D6">
        <v>1</v>
      </c>
      <c r="E6">
        <v>20</v>
      </c>
      <c r="F6">
        <f t="shared" si="0"/>
        <v>1.2580185082399999</v>
      </c>
      <c r="G6">
        <v>32</v>
      </c>
      <c r="H6">
        <v>0.53738902023054347</v>
      </c>
      <c r="I6">
        <v>1</v>
      </c>
      <c r="J6">
        <v>1</v>
      </c>
      <c r="K6" s="32">
        <v>1</v>
      </c>
    </row>
    <row r="7" spans="1:11" x14ac:dyDescent="0.2">
      <c r="A7" s="33" t="s">
        <v>14</v>
      </c>
      <c r="B7" s="29">
        <v>997</v>
      </c>
      <c r="C7" s="29">
        <v>1E-3</v>
      </c>
      <c r="D7" s="29">
        <v>1</v>
      </c>
      <c r="E7" s="29">
        <v>24</v>
      </c>
      <c r="F7" s="29">
        <f t="shared" si="0"/>
        <v>1.5096222098880001</v>
      </c>
      <c r="G7" s="29">
        <v>25</v>
      </c>
      <c r="H7" s="29">
        <v>0.49891092290821087</v>
      </c>
      <c r="I7" s="29">
        <v>1</v>
      </c>
      <c r="J7" s="29">
        <v>1</v>
      </c>
      <c r="K7" s="34">
        <v>1</v>
      </c>
    </row>
    <row r="8" spans="1:11" x14ac:dyDescent="0.2">
      <c r="A8" s="27" t="s">
        <v>47</v>
      </c>
      <c r="B8" s="28">
        <v>922</v>
      </c>
      <c r="C8" s="28">
        <v>6.9000000000000006E-2</v>
      </c>
      <c r="D8" s="28">
        <v>1</v>
      </c>
      <c r="E8" s="28">
        <v>0</v>
      </c>
      <c r="F8" s="28">
        <f t="shared" si="0"/>
        <v>0</v>
      </c>
      <c r="G8" s="28" cm="1">
        <f t="array" ref="G8:G12">TRANSPOSE([1]Girasol!$B$58:$F$58)</f>
        <v>35.372844203391779</v>
      </c>
      <c r="H8" s="28" cm="1">
        <f t="array" ref="H8:H12">TRANSPOSE([1]Girasol!$B$15:$F$15)</f>
        <v>0</v>
      </c>
      <c r="I8" s="28">
        <v>1</v>
      </c>
      <c r="J8" s="28">
        <v>1</v>
      </c>
      <c r="K8" s="30">
        <v>1</v>
      </c>
    </row>
    <row r="9" spans="1:11" x14ac:dyDescent="0.2">
      <c r="A9" s="31" t="s">
        <v>47</v>
      </c>
      <c r="B9">
        <v>922</v>
      </c>
      <c r="C9">
        <v>6.9000000000000006E-2</v>
      </c>
      <c r="D9">
        <v>1</v>
      </c>
      <c r="E9">
        <v>5</v>
      </c>
      <c r="F9">
        <f t="shared" si="0"/>
        <v>0.29084580356</v>
      </c>
      <c r="G9">
        <v>33.714742131357788</v>
      </c>
      <c r="H9">
        <v>0.11610117076530363</v>
      </c>
      <c r="I9">
        <v>1</v>
      </c>
      <c r="J9">
        <v>1</v>
      </c>
      <c r="K9" s="32">
        <v>1</v>
      </c>
    </row>
    <row r="10" spans="1:11" x14ac:dyDescent="0.2">
      <c r="A10" s="31" t="s">
        <v>47</v>
      </c>
      <c r="B10">
        <v>922</v>
      </c>
      <c r="C10">
        <v>6.9000000000000006E-2</v>
      </c>
      <c r="D10">
        <v>1</v>
      </c>
      <c r="E10">
        <v>10</v>
      </c>
      <c r="F10">
        <f t="shared" si="0"/>
        <v>0.58169160712000001</v>
      </c>
      <c r="G10">
        <v>30.39853798728981</v>
      </c>
      <c r="H10">
        <v>0.19261379209209967</v>
      </c>
      <c r="I10">
        <v>1</v>
      </c>
      <c r="J10">
        <v>1</v>
      </c>
      <c r="K10" s="32">
        <v>1</v>
      </c>
    </row>
    <row r="11" spans="1:11" x14ac:dyDescent="0.2">
      <c r="A11" s="31" t="s">
        <v>47</v>
      </c>
      <c r="B11">
        <v>922</v>
      </c>
      <c r="C11">
        <v>6.9000000000000006E-2</v>
      </c>
      <c r="D11">
        <v>1</v>
      </c>
      <c r="E11">
        <v>15</v>
      </c>
      <c r="F11">
        <f t="shared" si="0"/>
        <v>0.87253741068000001</v>
      </c>
      <c r="G11">
        <v>27.082333843221832</v>
      </c>
      <c r="H11">
        <v>0.22579141933595268</v>
      </c>
      <c r="I11">
        <v>1</v>
      </c>
      <c r="J11">
        <v>1</v>
      </c>
      <c r="K11" s="32">
        <v>1</v>
      </c>
    </row>
    <row r="12" spans="1:11" x14ac:dyDescent="0.2">
      <c r="A12" s="33" t="s">
        <v>47</v>
      </c>
      <c r="B12" s="29">
        <v>922</v>
      </c>
      <c r="C12" s="29">
        <v>6.9000000000000006E-2</v>
      </c>
      <c r="D12" s="29">
        <v>1</v>
      </c>
      <c r="E12" s="29">
        <v>20</v>
      </c>
      <c r="F12" s="29">
        <f t="shared" si="0"/>
        <v>1.16338321424</v>
      </c>
      <c r="G12" s="29">
        <v>19.897224864407875</v>
      </c>
      <c r="H12" s="29">
        <v>0.21012413682774506</v>
      </c>
      <c r="I12" s="29">
        <v>1</v>
      </c>
      <c r="J12" s="29">
        <v>1</v>
      </c>
      <c r="K12" s="34">
        <v>1</v>
      </c>
    </row>
    <row r="13" spans="1:11" x14ac:dyDescent="0.2">
      <c r="A13" s="31" t="s">
        <v>48</v>
      </c>
      <c r="B13">
        <v>863</v>
      </c>
      <c r="C13">
        <v>3.1E-2</v>
      </c>
      <c r="D13">
        <v>1</v>
      </c>
      <c r="E13">
        <v>0</v>
      </c>
      <c r="F13">
        <f t="shared" si="0"/>
        <v>0</v>
      </c>
      <c r="G13" cm="1">
        <f t="array" ref="G13:G17">TRANSPOSE([1]Mineral!$B$58:$F$58)</f>
        <v>37.485479932674295</v>
      </c>
      <c r="H13" cm="1">
        <f t="array" ref="H13:H17">TRANSPOSE([1]Mineral!$B$15:$F$15)</f>
        <v>0</v>
      </c>
      <c r="I13">
        <v>1</v>
      </c>
      <c r="J13">
        <v>1</v>
      </c>
      <c r="K13" s="32">
        <v>1</v>
      </c>
    </row>
    <row r="14" spans="1:11" x14ac:dyDescent="0.2">
      <c r="A14" s="31" t="s">
        <v>48</v>
      </c>
      <c r="B14">
        <v>863</v>
      </c>
      <c r="C14">
        <v>3.1E-2</v>
      </c>
      <c r="D14">
        <v>1</v>
      </c>
      <c r="E14">
        <v>5</v>
      </c>
      <c r="F14">
        <f t="shared" si="0"/>
        <v>0.27223419573999996</v>
      </c>
      <c r="G14">
        <v>36.349556298350834</v>
      </c>
      <c r="H14">
        <v>0.14637125720917515</v>
      </c>
      <c r="I14">
        <v>1</v>
      </c>
      <c r="J14">
        <v>1</v>
      </c>
      <c r="K14" s="32">
        <v>1</v>
      </c>
    </row>
    <row r="15" spans="1:11" x14ac:dyDescent="0.2">
      <c r="A15" s="31" t="s">
        <v>48</v>
      </c>
      <c r="B15">
        <v>863</v>
      </c>
      <c r="C15">
        <v>3.1E-2</v>
      </c>
      <c r="D15">
        <v>1</v>
      </c>
      <c r="E15">
        <v>10</v>
      </c>
      <c r="F15">
        <f t="shared" si="0"/>
        <v>0.54446839147999992</v>
      </c>
      <c r="G15">
        <v>34.077709029703904</v>
      </c>
      <c r="H15">
        <v>0.25528803397162297</v>
      </c>
      <c r="I15">
        <v>1</v>
      </c>
      <c r="J15">
        <v>1</v>
      </c>
      <c r="K15" s="32">
        <v>1</v>
      </c>
    </row>
    <row r="16" spans="1:11" x14ac:dyDescent="0.2">
      <c r="A16" s="31" t="s">
        <v>48</v>
      </c>
      <c r="B16">
        <v>863</v>
      </c>
      <c r="C16">
        <v>3.1E-2</v>
      </c>
      <c r="D16">
        <v>1</v>
      </c>
      <c r="E16">
        <v>15</v>
      </c>
      <c r="F16">
        <f t="shared" si="0"/>
        <v>0.81670258722</v>
      </c>
      <c r="G16">
        <v>30.669938126733513</v>
      </c>
      <c r="H16">
        <v>0.28458082032482201</v>
      </c>
      <c r="I16">
        <v>1</v>
      </c>
      <c r="J16">
        <v>1</v>
      </c>
      <c r="K16" s="32">
        <v>1</v>
      </c>
    </row>
    <row r="17" spans="1:11" x14ac:dyDescent="0.2">
      <c r="A17" s="33" t="s">
        <v>48</v>
      </c>
      <c r="B17" s="29">
        <v>863</v>
      </c>
      <c r="C17" s="29">
        <v>3.1E-2</v>
      </c>
      <c r="D17" s="29">
        <v>1</v>
      </c>
      <c r="E17" s="29">
        <v>20</v>
      </c>
      <c r="F17" s="29">
        <f t="shared" si="0"/>
        <v>1.0889367829599998</v>
      </c>
      <c r="G17" s="29">
        <v>26.694205406601391</v>
      </c>
      <c r="H17" s="29">
        <v>0.31255039833963749</v>
      </c>
      <c r="I17" s="29">
        <v>1</v>
      </c>
      <c r="J17" s="29">
        <v>1</v>
      </c>
      <c r="K17" s="34">
        <v>1</v>
      </c>
    </row>
    <row r="18" spans="1:11" x14ac:dyDescent="0.2">
      <c r="A18" s="31" t="s">
        <v>49</v>
      </c>
      <c r="B18">
        <v>1010</v>
      </c>
      <c r="C18" s="35">
        <v>1.088426747196344</v>
      </c>
      <c r="D18" s="35">
        <v>0.55575867898681897</v>
      </c>
      <c r="E18" s="35">
        <v>0</v>
      </c>
      <c r="F18" s="35">
        <f t="shared" si="0"/>
        <v>0</v>
      </c>
      <c r="G18" s="35" cm="1">
        <f t="array" ref="G18:G22">TRANSPOSE('[1]CMC 0.5% NUEVO'!$B$58:$F$58)</f>
        <v>44.535730035301938</v>
      </c>
      <c r="H18" s="35" cm="1">
        <f t="array" ref="H18:H22">TRANSPOSE('[1]CMC 0.5% NUEVO'!$B$15:$F$15)</f>
        <v>0</v>
      </c>
      <c r="I18" s="35">
        <v>1</v>
      </c>
      <c r="J18" s="35">
        <v>1</v>
      </c>
      <c r="K18" s="36">
        <v>1</v>
      </c>
    </row>
    <row r="19" spans="1:11" x14ac:dyDescent="0.2">
      <c r="A19" s="31" t="s">
        <v>49</v>
      </c>
      <c r="B19">
        <v>1010</v>
      </c>
      <c r="C19" s="35">
        <v>1.088426747196344</v>
      </c>
      <c r="D19" s="35">
        <v>0.55575867898681897</v>
      </c>
      <c r="E19" s="35">
        <v>5</v>
      </c>
      <c r="F19" s="35">
        <f t="shared" si="0"/>
        <v>0.31860548980000003</v>
      </c>
      <c r="G19" s="35">
        <v>41.752246908095564</v>
      </c>
      <c r="H19" s="35">
        <v>0.1812464954160089</v>
      </c>
      <c r="I19" s="35">
        <v>1</v>
      </c>
      <c r="J19" s="35">
        <v>1</v>
      </c>
      <c r="K19" s="36">
        <v>1</v>
      </c>
    </row>
    <row r="20" spans="1:11" x14ac:dyDescent="0.2">
      <c r="A20" s="31" t="s">
        <v>49</v>
      </c>
      <c r="B20">
        <v>1010</v>
      </c>
      <c r="C20" s="35">
        <v>1.088426747196344</v>
      </c>
      <c r="D20" s="35">
        <v>0.55575867898681897</v>
      </c>
      <c r="E20" s="35">
        <v>10</v>
      </c>
      <c r="F20" s="35">
        <f t="shared" si="0"/>
        <v>0.63721097960000006</v>
      </c>
      <c r="G20" s="35">
        <v>39.664634562690786</v>
      </c>
      <c r="H20" s="35">
        <v>0.31385469079632938</v>
      </c>
      <c r="I20" s="35">
        <v>1</v>
      </c>
      <c r="J20" s="35">
        <v>1</v>
      </c>
      <c r="K20" s="36">
        <v>1</v>
      </c>
    </row>
    <row r="21" spans="1:11" x14ac:dyDescent="0.2">
      <c r="A21" s="31" t="s">
        <v>49</v>
      </c>
      <c r="B21">
        <v>1010</v>
      </c>
      <c r="C21" s="35">
        <v>1.088426747196344</v>
      </c>
      <c r="D21" s="35">
        <v>0.55575867898681897</v>
      </c>
      <c r="E21" s="35">
        <v>15</v>
      </c>
      <c r="F21" s="35">
        <f t="shared" si="0"/>
        <v>0.95581646939999998</v>
      </c>
      <c r="G21" s="35">
        <v>36.185280653682824</v>
      </c>
      <c r="H21" s="35">
        <v>0.40392076121281989</v>
      </c>
      <c r="I21" s="35">
        <v>1</v>
      </c>
      <c r="J21" s="35">
        <v>1</v>
      </c>
      <c r="K21" s="36">
        <v>1</v>
      </c>
    </row>
    <row r="22" spans="1:11" x14ac:dyDescent="0.2">
      <c r="A22" s="31" t="s">
        <v>49</v>
      </c>
      <c r="B22">
        <v>1010</v>
      </c>
      <c r="C22" s="35">
        <v>1.088426747196344</v>
      </c>
      <c r="D22" s="35">
        <v>0.55575867898681897</v>
      </c>
      <c r="E22" s="35">
        <v>20</v>
      </c>
      <c r="F22" s="35">
        <f t="shared" si="0"/>
        <v>1.2744219592000001</v>
      </c>
      <c r="G22" s="35">
        <v>28.530702053865305</v>
      </c>
      <c r="H22" s="35">
        <v>0.40533307156671083</v>
      </c>
      <c r="I22" s="35">
        <v>1</v>
      </c>
      <c r="J22" s="35">
        <v>1</v>
      </c>
      <c r="K22" s="36">
        <v>1</v>
      </c>
    </row>
    <row r="23" spans="1:11" x14ac:dyDescent="0.2">
      <c r="A23" s="27" t="s">
        <v>50</v>
      </c>
      <c r="B23" s="28">
        <v>947.8</v>
      </c>
      <c r="C23" s="37">
        <v>7.8479634704578596E-2</v>
      </c>
      <c r="D23" s="37">
        <v>0.94845460446566709</v>
      </c>
      <c r="E23" s="37">
        <v>0</v>
      </c>
      <c r="F23" s="37">
        <f t="shared" si="0"/>
        <v>0</v>
      </c>
      <c r="G23" s="37">
        <v>36.727265393779682</v>
      </c>
      <c r="H23" s="37">
        <v>0</v>
      </c>
      <c r="I23" s="37">
        <v>1</v>
      </c>
      <c r="J23" s="37">
        <v>1</v>
      </c>
      <c r="K23" s="38">
        <v>1</v>
      </c>
    </row>
    <row r="24" spans="1:11" x14ac:dyDescent="0.2">
      <c r="A24" s="31" t="s">
        <v>50</v>
      </c>
      <c r="B24">
        <v>947.8</v>
      </c>
      <c r="C24" s="35">
        <v>7.8479634704578596E-2</v>
      </c>
      <c r="D24" s="35">
        <v>0.94845460446566709</v>
      </c>
      <c r="E24" s="35">
        <v>2</v>
      </c>
      <c r="F24" s="35">
        <f t="shared" si="0"/>
        <v>0.11959377553759999</v>
      </c>
      <c r="G24" s="35">
        <v>35.631</v>
      </c>
      <c r="H24" s="35">
        <v>5.347750361351792E-2</v>
      </c>
      <c r="I24" s="35">
        <v>1</v>
      </c>
      <c r="J24" s="35">
        <v>1</v>
      </c>
      <c r="K24" s="36">
        <v>1</v>
      </c>
    </row>
    <row r="25" spans="1:11" x14ac:dyDescent="0.2">
      <c r="A25" s="31" t="s">
        <v>50</v>
      </c>
      <c r="B25">
        <v>947.8</v>
      </c>
      <c r="C25" s="35">
        <v>7.8479634704578596E-2</v>
      </c>
      <c r="D25" s="35">
        <v>0.94845460446566709</v>
      </c>
      <c r="E25" s="35">
        <v>6</v>
      </c>
      <c r="F25" s="35">
        <f t="shared" si="0"/>
        <v>0.35878132661279999</v>
      </c>
      <c r="G25" s="35">
        <v>33.328200000000002</v>
      </c>
      <c r="H25" s="35">
        <v>0.1484503093136082</v>
      </c>
      <c r="I25" s="35">
        <v>1</v>
      </c>
      <c r="J25" s="35">
        <v>1</v>
      </c>
      <c r="K25" s="36">
        <v>1</v>
      </c>
    </row>
    <row r="26" spans="1:11" x14ac:dyDescent="0.2">
      <c r="A26" s="31" t="s">
        <v>50</v>
      </c>
      <c r="B26">
        <v>947.8</v>
      </c>
      <c r="C26" s="35">
        <v>7.8479634704578596E-2</v>
      </c>
      <c r="D26" s="35">
        <v>0.94845460446566709</v>
      </c>
      <c r="E26" s="35">
        <v>10</v>
      </c>
      <c r="F26" s="35">
        <f t="shared" si="0"/>
        <v>0.597968877688</v>
      </c>
      <c r="G26" s="35">
        <v>32.697000000000003</v>
      </c>
      <c r="H26" s="35">
        <v>0.24014912020776488</v>
      </c>
      <c r="I26" s="35">
        <v>1</v>
      </c>
      <c r="J26" s="35">
        <v>1</v>
      </c>
      <c r="K26" s="36">
        <v>1</v>
      </c>
    </row>
    <row r="27" spans="1:11" x14ac:dyDescent="0.2">
      <c r="A27" s="31" t="s">
        <v>50</v>
      </c>
      <c r="B27">
        <v>947.8</v>
      </c>
      <c r="C27" s="35">
        <v>7.8479634704578596E-2</v>
      </c>
      <c r="D27" s="35">
        <v>0.94845460446566709</v>
      </c>
      <c r="E27" s="35">
        <v>15</v>
      </c>
      <c r="F27" s="35">
        <f t="shared" si="0"/>
        <v>0.89695331653199994</v>
      </c>
      <c r="G27" s="35">
        <v>27.408407010283344</v>
      </c>
      <c r="H27" s="35">
        <v>0.29878059986319017</v>
      </c>
      <c r="I27" s="35">
        <v>1</v>
      </c>
      <c r="J27" s="35">
        <v>1</v>
      </c>
      <c r="K27" s="36">
        <v>1</v>
      </c>
    </row>
    <row r="28" spans="1:11" x14ac:dyDescent="0.2">
      <c r="A28" s="31" t="s">
        <v>50</v>
      </c>
      <c r="B28">
        <v>947.8</v>
      </c>
      <c r="C28" s="35">
        <v>7.8479634704578596E-2</v>
      </c>
      <c r="D28" s="35">
        <v>0.94845460446566709</v>
      </c>
      <c r="E28" s="35">
        <v>20</v>
      </c>
      <c r="F28" s="35">
        <f t="shared" si="0"/>
        <v>1.195937755376</v>
      </c>
      <c r="G28" s="35">
        <v>21.9267256082267</v>
      </c>
      <c r="H28" s="35">
        <v>0.31537952207781178</v>
      </c>
      <c r="I28" s="35">
        <v>1</v>
      </c>
      <c r="J28" s="35">
        <v>1</v>
      </c>
      <c r="K28" s="36">
        <v>1</v>
      </c>
    </row>
    <row r="29" spans="1:11" x14ac:dyDescent="0.2">
      <c r="A29" s="27" t="s">
        <v>51</v>
      </c>
      <c r="B29" s="28">
        <v>952.2</v>
      </c>
      <c r="C29" s="37">
        <v>8.6614573136101783E-2</v>
      </c>
      <c r="D29" s="37">
        <v>0.9739607817541418</v>
      </c>
      <c r="E29" s="37">
        <v>0</v>
      </c>
      <c r="F29" s="37">
        <f t="shared" si="0"/>
        <v>0</v>
      </c>
      <c r="G29" s="37">
        <v>37.27543353398535</v>
      </c>
      <c r="H29" s="37">
        <v>0</v>
      </c>
      <c r="I29" s="37">
        <v>1</v>
      </c>
      <c r="J29" s="37">
        <v>1</v>
      </c>
      <c r="K29" s="38">
        <v>1</v>
      </c>
    </row>
    <row r="30" spans="1:11" x14ac:dyDescent="0.2">
      <c r="A30" s="31" t="s">
        <v>51</v>
      </c>
      <c r="B30">
        <v>952.2</v>
      </c>
      <c r="C30" s="35">
        <v>8.6614573136101783E-2</v>
      </c>
      <c r="D30" s="35">
        <v>0.9739607817541418</v>
      </c>
      <c r="E30" s="35">
        <v>2</v>
      </c>
      <c r="F30" s="35">
        <f t="shared" si="0"/>
        <v>0.1201489692624</v>
      </c>
      <c r="G30" s="35">
        <v>36.179000000000002</v>
      </c>
      <c r="H30" s="35">
        <v>5.5346876539068543E-2</v>
      </c>
      <c r="I30" s="35">
        <v>1</v>
      </c>
      <c r="J30" s="35">
        <v>1</v>
      </c>
      <c r="K30" s="36">
        <v>1</v>
      </c>
    </row>
    <row r="31" spans="1:11" x14ac:dyDescent="0.2">
      <c r="A31" s="31" t="s">
        <v>51</v>
      </c>
      <c r="B31">
        <v>952.2</v>
      </c>
      <c r="C31" s="35">
        <v>8.6614573136101783E-2</v>
      </c>
      <c r="D31" s="35">
        <v>0.9739607817541418</v>
      </c>
      <c r="E31" s="35">
        <v>6</v>
      </c>
      <c r="F31" s="35">
        <f t="shared" si="0"/>
        <v>0.36044690778720001</v>
      </c>
      <c r="G31" s="35">
        <v>35.096400000000003</v>
      </c>
      <c r="H31" s="35">
        <v>0.15932133947210966</v>
      </c>
      <c r="I31" s="35">
        <v>1</v>
      </c>
      <c r="J31" s="35">
        <v>1</v>
      </c>
      <c r="K31" s="36">
        <v>1</v>
      </c>
    </row>
    <row r="32" spans="1:11" x14ac:dyDescent="0.2">
      <c r="A32" s="31" t="s">
        <v>51</v>
      </c>
      <c r="B32">
        <v>952.2</v>
      </c>
      <c r="C32" s="35">
        <v>8.6614573136101783E-2</v>
      </c>
      <c r="D32" s="35">
        <v>0.9739607817541418</v>
      </c>
      <c r="E32" s="35">
        <v>10</v>
      </c>
      <c r="F32" s="35">
        <f t="shared" si="0"/>
        <v>0.60074484631199998</v>
      </c>
      <c r="G32" s="35">
        <v>33.341999999999999</v>
      </c>
      <c r="H32" s="35">
        <v>0.24954947092291063</v>
      </c>
      <c r="I32" s="35">
        <v>1</v>
      </c>
      <c r="J32" s="35">
        <v>1</v>
      </c>
      <c r="K32" s="36">
        <v>1</v>
      </c>
    </row>
    <row r="33" spans="1:11" x14ac:dyDescent="0.2">
      <c r="A33" s="31" t="s">
        <v>51</v>
      </c>
      <c r="B33">
        <v>952.2</v>
      </c>
      <c r="C33" s="35">
        <v>8.6614573136101783E-2</v>
      </c>
      <c r="D33" s="35">
        <v>0.9739607817541418</v>
      </c>
      <c r="E33" s="35">
        <v>15</v>
      </c>
      <c r="F33" s="35">
        <f t="shared" si="0"/>
        <v>0.90111726946799997</v>
      </c>
      <c r="G33" s="35">
        <v>28.504743290694677</v>
      </c>
      <c r="H33" s="35">
        <v>0.31328005239940171</v>
      </c>
      <c r="I33" s="35">
        <v>1</v>
      </c>
      <c r="J33" s="35">
        <v>1</v>
      </c>
      <c r="K33" s="36">
        <v>1</v>
      </c>
    </row>
    <row r="34" spans="1:11" x14ac:dyDescent="0.2">
      <c r="A34" s="33" t="s">
        <v>51</v>
      </c>
      <c r="B34" s="29">
        <v>952.2</v>
      </c>
      <c r="C34" s="39">
        <v>8.6614573136101783E-2</v>
      </c>
      <c r="D34" s="39">
        <v>0.9739607817541418</v>
      </c>
      <c r="E34" s="39">
        <v>20</v>
      </c>
      <c r="F34" s="39">
        <f t="shared" si="0"/>
        <v>1.201489692624</v>
      </c>
      <c r="G34" s="39">
        <v>22.47489374843234</v>
      </c>
      <c r="H34" s="39">
        <v>0.3259150117776895</v>
      </c>
      <c r="I34" s="39">
        <v>1</v>
      </c>
      <c r="J34" s="39">
        <v>1</v>
      </c>
      <c r="K34" s="40">
        <v>1</v>
      </c>
    </row>
    <row r="35" spans="1:11" x14ac:dyDescent="0.2">
      <c r="A35" s="27" t="s">
        <v>52</v>
      </c>
      <c r="B35" s="28">
        <v>953</v>
      </c>
      <c r="C35" s="37">
        <v>0.40137051444993488</v>
      </c>
      <c r="D35" s="37">
        <v>0.76589590129870633</v>
      </c>
      <c r="E35" s="37">
        <v>0</v>
      </c>
      <c r="F35" s="37">
        <f t="shared" si="0"/>
        <v>0</v>
      </c>
      <c r="G35" s="37">
        <v>38.371769814396679</v>
      </c>
      <c r="H35" s="37">
        <v>0</v>
      </c>
      <c r="I35" s="37">
        <v>1</v>
      </c>
      <c r="J35" s="37">
        <v>1</v>
      </c>
      <c r="K35" s="38">
        <v>1</v>
      </c>
    </row>
    <row r="36" spans="1:11" x14ac:dyDescent="0.2">
      <c r="A36" s="31" t="s">
        <v>52</v>
      </c>
      <c r="B36">
        <v>953</v>
      </c>
      <c r="C36" s="35">
        <v>0.40137051444993488</v>
      </c>
      <c r="D36" s="35">
        <v>0.76589590129870633</v>
      </c>
      <c r="E36" s="35">
        <v>2</v>
      </c>
      <c r="F36" s="35">
        <f t="shared" si="0"/>
        <v>0.120249913576</v>
      </c>
      <c r="G36" s="35">
        <v>37.275599999999997</v>
      </c>
      <c r="H36" s="35">
        <v>6.5392942509830021E-2</v>
      </c>
      <c r="I36" s="35">
        <v>1</v>
      </c>
      <c r="J36" s="35">
        <v>1</v>
      </c>
      <c r="K36" s="36">
        <v>1</v>
      </c>
    </row>
    <row r="37" spans="1:11" x14ac:dyDescent="0.2">
      <c r="A37" s="31" t="s">
        <v>52</v>
      </c>
      <c r="B37">
        <v>953</v>
      </c>
      <c r="C37" s="35">
        <v>0.40137051444993488</v>
      </c>
      <c r="D37" s="35">
        <v>0.76589590129870633</v>
      </c>
      <c r="E37" s="35">
        <v>6</v>
      </c>
      <c r="F37" s="35">
        <f t="shared" si="0"/>
        <v>0.36074974072799998</v>
      </c>
      <c r="G37" s="35">
        <v>35.082799999999999</v>
      </c>
      <c r="H37" s="35">
        <v>0.1823587924249416</v>
      </c>
      <c r="I37" s="35">
        <v>1</v>
      </c>
      <c r="J37" s="35">
        <v>1</v>
      </c>
      <c r="K37" s="36">
        <v>1</v>
      </c>
    </row>
    <row r="38" spans="1:11" x14ac:dyDescent="0.2">
      <c r="A38" s="31" t="s">
        <v>52</v>
      </c>
      <c r="B38">
        <v>953</v>
      </c>
      <c r="C38" s="35">
        <v>0.40137051444993488</v>
      </c>
      <c r="D38" s="35">
        <v>0.76589590129870633</v>
      </c>
      <c r="E38" s="35">
        <v>10</v>
      </c>
      <c r="F38" s="35">
        <f t="shared" si="0"/>
        <v>0.60124956787999995</v>
      </c>
      <c r="G38" s="35">
        <v>32.890088412340013</v>
      </c>
      <c r="H38" s="35">
        <v>0.27806938544395871</v>
      </c>
      <c r="I38" s="35">
        <v>1</v>
      </c>
      <c r="J38" s="35">
        <v>1</v>
      </c>
      <c r="K38" s="36">
        <v>1</v>
      </c>
    </row>
    <row r="39" spans="1:11" x14ac:dyDescent="0.2">
      <c r="A39" s="31" t="s">
        <v>52</v>
      </c>
      <c r="B39">
        <v>953</v>
      </c>
      <c r="C39" s="35">
        <v>0.40137051444993488</v>
      </c>
      <c r="D39" s="35">
        <v>0.76589590129870633</v>
      </c>
      <c r="E39" s="35">
        <v>15</v>
      </c>
      <c r="F39" s="35">
        <f t="shared" si="0"/>
        <v>0.90187435181999998</v>
      </c>
      <c r="G39" s="35">
        <v>28.504743290694677</v>
      </c>
      <c r="H39" s="35">
        <v>0.35718674630241837</v>
      </c>
      <c r="I39" s="35">
        <v>1</v>
      </c>
      <c r="J39" s="35">
        <v>1</v>
      </c>
      <c r="K39" s="36">
        <v>1</v>
      </c>
    </row>
    <row r="40" spans="1:11" x14ac:dyDescent="0.2">
      <c r="A40" s="33" t="s">
        <v>52</v>
      </c>
      <c r="B40" s="29">
        <v>953</v>
      </c>
      <c r="C40" s="39">
        <v>0.40137051444993488</v>
      </c>
      <c r="D40" s="39">
        <v>0.76589590129870633</v>
      </c>
      <c r="E40" s="39">
        <v>20</v>
      </c>
      <c r="F40" s="39">
        <f t="shared" si="0"/>
        <v>1.2024991357599999</v>
      </c>
      <c r="G40" s="39">
        <v>23.571230028843676</v>
      </c>
      <c r="H40" s="39">
        <v>0.38466264986414289</v>
      </c>
      <c r="I40" s="39">
        <v>1</v>
      </c>
      <c r="J40" s="39">
        <v>1</v>
      </c>
      <c r="K40" s="40">
        <v>1</v>
      </c>
    </row>
    <row r="41" spans="1:11" x14ac:dyDescent="0.2">
      <c r="A41" s="27" t="s">
        <v>53</v>
      </c>
      <c r="B41" s="28">
        <v>963.5</v>
      </c>
      <c r="C41" s="37">
        <v>2.5821211658245288E-2</v>
      </c>
      <c r="D41" s="37">
        <v>0.94864323286753727</v>
      </c>
      <c r="E41" s="37">
        <v>0</v>
      </c>
      <c r="F41" s="37">
        <f t="shared" si="0"/>
        <v>0</v>
      </c>
      <c r="G41" s="37">
        <v>39.468106094808014</v>
      </c>
      <c r="H41" s="37">
        <v>0</v>
      </c>
      <c r="I41" s="37">
        <v>1</v>
      </c>
      <c r="J41" s="37">
        <v>1</v>
      </c>
      <c r="K41" s="38">
        <v>1</v>
      </c>
    </row>
    <row r="42" spans="1:11" x14ac:dyDescent="0.2">
      <c r="A42" s="31" t="s">
        <v>53</v>
      </c>
      <c r="B42">
        <v>963.5</v>
      </c>
      <c r="C42" s="35">
        <v>2.5821211658245288E-2</v>
      </c>
      <c r="D42" s="35">
        <v>0.94864323286753727</v>
      </c>
      <c r="E42" s="35">
        <v>2</v>
      </c>
      <c r="F42" s="35">
        <f t="shared" si="0"/>
        <v>0.12157480769199999</v>
      </c>
      <c r="G42" s="35">
        <v>38.1524</v>
      </c>
      <c r="H42" s="35">
        <v>7.1969224681519811E-2</v>
      </c>
      <c r="I42" s="35">
        <v>1</v>
      </c>
      <c r="J42" s="35">
        <v>1</v>
      </c>
      <c r="K42" s="36">
        <v>1</v>
      </c>
    </row>
    <row r="43" spans="1:11" x14ac:dyDescent="0.2">
      <c r="A43" s="31" t="s">
        <v>53</v>
      </c>
      <c r="B43">
        <v>963.5</v>
      </c>
      <c r="C43" s="35">
        <v>2.5821211658245288E-2</v>
      </c>
      <c r="D43" s="35">
        <v>0.94864323286753727</v>
      </c>
      <c r="E43" s="35">
        <v>6</v>
      </c>
      <c r="F43" s="35">
        <f t="shared" si="0"/>
        <v>0.36472442307599995</v>
      </c>
      <c r="G43" s="35">
        <v>37.484900000000003</v>
      </c>
      <c r="H43" s="35">
        <v>0.20933904751576224</v>
      </c>
      <c r="I43" s="35">
        <v>1</v>
      </c>
      <c r="J43" s="35">
        <v>1</v>
      </c>
      <c r="K43" s="36">
        <v>1</v>
      </c>
    </row>
    <row r="44" spans="1:11" x14ac:dyDescent="0.2">
      <c r="A44" s="31" t="s">
        <v>53</v>
      </c>
      <c r="B44">
        <v>963.5</v>
      </c>
      <c r="C44" s="35">
        <v>2.5821211658245288E-2</v>
      </c>
      <c r="D44" s="35">
        <v>0.94864323286753727</v>
      </c>
      <c r="E44" s="35">
        <v>10</v>
      </c>
      <c r="F44" s="35">
        <f t="shared" si="0"/>
        <v>0.60787403845999999</v>
      </c>
      <c r="G44" s="35">
        <v>33.986424692751349</v>
      </c>
      <c r="H44" s="35">
        <v>0.30822446430859862</v>
      </c>
      <c r="I44" s="35">
        <v>1</v>
      </c>
      <c r="J44" s="35">
        <v>1</v>
      </c>
      <c r="K44" s="36">
        <v>1</v>
      </c>
    </row>
    <row r="45" spans="1:11" x14ac:dyDescent="0.2">
      <c r="A45" s="31" t="s">
        <v>53</v>
      </c>
      <c r="B45">
        <v>963.5</v>
      </c>
      <c r="C45" s="35">
        <v>2.5821211658245288E-2</v>
      </c>
      <c r="D45" s="35">
        <v>0.94864323286753727</v>
      </c>
      <c r="E45" s="35">
        <v>15</v>
      </c>
      <c r="F45" s="35">
        <f t="shared" si="0"/>
        <v>0.91181105768999993</v>
      </c>
      <c r="G45" s="35">
        <v>30.149247711311677</v>
      </c>
      <c r="H45" s="35">
        <v>0.39494711824488893</v>
      </c>
      <c r="I45" s="35">
        <v>1</v>
      </c>
      <c r="J45" s="35">
        <v>1</v>
      </c>
      <c r="K45" s="36">
        <v>1</v>
      </c>
    </row>
    <row r="46" spans="1:11" x14ac:dyDescent="0.2">
      <c r="A46" s="31" t="s">
        <v>53</v>
      </c>
      <c r="B46">
        <v>963.5</v>
      </c>
      <c r="C46" s="35">
        <v>2.5821211658245288E-2</v>
      </c>
      <c r="D46" s="35">
        <v>0.94864323286753727</v>
      </c>
      <c r="E46" s="35">
        <v>20</v>
      </c>
      <c r="F46" s="35">
        <f t="shared" si="0"/>
        <v>1.21574807692</v>
      </c>
      <c r="G46" s="35">
        <v>25.667999999999999</v>
      </c>
      <c r="H46" s="35">
        <v>0.43231367094422885</v>
      </c>
      <c r="I46" s="35">
        <v>1</v>
      </c>
      <c r="J46" s="35">
        <v>1</v>
      </c>
      <c r="K46" s="36">
        <v>1</v>
      </c>
    </row>
    <row r="47" spans="1:11" x14ac:dyDescent="0.2">
      <c r="A47" s="27" t="s">
        <v>54</v>
      </c>
      <c r="B47" s="28">
        <v>966.9</v>
      </c>
      <c r="C47" s="37">
        <v>2.3461437583686701E-2</v>
      </c>
      <c r="D47" s="37">
        <v>0.89999184300000001</v>
      </c>
      <c r="E47" s="37">
        <v>0</v>
      </c>
      <c r="F47" s="37">
        <f t="shared" si="0"/>
        <v>0</v>
      </c>
      <c r="G47" s="37">
        <v>40.016274235013682</v>
      </c>
      <c r="H47" s="37">
        <v>0</v>
      </c>
      <c r="I47" s="37">
        <v>1</v>
      </c>
      <c r="J47" s="37">
        <v>1</v>
      </c>
      <c r="K47" s="38">
        <v>1</v>
      </c>
    </row>
    <row r="48" spans="1:11" x14ac:dyDescent="0.2">
      <c r="A48" s="31" t="s">
        <v>54</v>
      </c>
      <c r="B48">
        <v>967.9</v>
      </c>
      <c r="C48" s="35">
        <v>2.3461437583686701E-2</v>
      </c>
      <c r="D48" s="35">
        <v>0.89999184300000001</v>
      </c>
      <c r="E48" s="35">
        <v>2</v>
      </c>
      <c r="F48" s="35">
        <f t="shared" si="0"/>
        <v>0.12213000141679999</v>
      </c>
      <c r="G48" s="35">
        <v>38.919600000000003</v>
      </c>
      <c r="H48" s="35">
        <v>6.7686634200059631E-2</v>
      </c>
      <c r="I48" s="35">
        <v>1</v>
      </c>
      <c r="J48" s="35">
        <v>1</v>
      </c>
      <c r="K48" s="36">
        <v>1</v>
      </c>
    </row>
    <row r="49" spans="1:11" x14ac:dyDescent="0.2">
      <c r="A49" s="31" t="s">
        <v>54</v>
      </c>
      <c r="B49">
        <v>968.9</v>
      </c>
      <c r="C49" s="35">
        <v>2.3461437583686701E-2</v>
      </c>
      <c r="D49" s="35">
        <v>0.89999184300000001</v>
      </c>
      <c r="E49" s="35">
        <v>6</v>
      </c>
      <c r="F49" s="35">
        <f t="shared" si="0"/>
        <v>0.36676854542639997</v>
      </c>
      <c r="G49" s="35">
        <v>36.836599999999997</v>
      </c>
      <c r="H49" s="35">
        <v>0.18761601617607757</v>
      </c>
      <c r="I49" s="35">
        <v>1</v>
      </c>
      <c r="J49" s="35">
        <v>1</v>
      </c>
      <c r="K49" s="36">
        <v>1</v>
      </c>
    </row>
    <row r="50" spans="1:11" x14ac:dyDescent="0.2">
      <c r="A50" s="31" t="s">
        <v>54</v>
      </c>
      <c r="B50">
        <v>969.9</v>
      </c>
      <c r="C50" s="35">
        <v>2.3461437583686701E-2</v>
      </c>
      <c r="D50" s="35">
        <v>0.89999184300000001</v>
      </c>
      <c r="E50" s="35">
        <v>10</v>
      </c>
      <c r="F50" s="35">
        <f t="shared" si="0"/>
        <v>0.61191181100399994</v>
      </c>
      <c r="G50" s="35">
        <v>35.082760973162678</v>
      </c>
      <c r="H50" s="35">
        <v>0.29430202220040413</v>
      </c>
      <c r="I50" s="35">
        <v>1</v>
      </c>
      <c r="J50" s="35">
        <v>1</v>
      </c>
      <c r="K50" s="36">
        <v>1</v>
      </c>
    </row>
    <row r="51" spans="1:11" x14ac:dyDescent="0.2">
      <c r="A51" s="31" t="s">
        <v>54</v>
      </c>
      <c r="B51">
        <v>970.9</v>
      </c>
      <c r="C51" s="35">
        <v>2.3461437583686701E-2</v>
      </c>
      <c r="D51" s="35">
        <v>0.89999184300000001</v>
      </c>
      <c r="E51" s="35">
        <v>15</v>
      </c>
      <c r="F51" s="35">
        <f t="shared" si="0"/>
        <v>0.91881406944599986</v>
      </c>
      <c r="G51" s="35">
        <v>31.245583991723013</v>
      </c>
      <c r="H51" s="35">
        <v>0.38859737397191796</v>
      </c>
      <c r="I51" s="35">
        <v>1</v>
      </c>
      <c r="J51" s="35">
        <v>1</v>
      </c>
      <c r="K51" s="36">
        <v>1</v>
      </c>
    </row>
    <row r="52" spans="1:11" x14ac:dyDescent="0.2">
      <c r="A52" s="31" t="s">
        <v>54</v>
      </c>
      <c r="B52">
        <v>971.9</v>
      </c>
      <c r="C52" s="39">
        <v>2.3461437583686701E-2</v>
      </c>
      <c r="D52" s="39">
        <v>0.89999184300000001</v>
      </c>
      <c r="E52" s="35">
        <v>20</v>
      </c>
      <c r="F52" s="35">
        <f t="shared" si="0"/>
        <v>1.2263472298479998</v>
      </c>
      <c r="G52" s="35">
        <v>27.763999999999999</v>
      </c>
      <c r="H52" s="35">
        <v>0.44487749039274782</v>
      </c>
      <c r="I52" s="35">
        <v>1</v>
      </c>
      <c r="J52" s="35">
        <v>1</v>
      </c>
      <c r="K52" s="36">
        <v>1</v>
      </c>
    </row>
    <row r="53" spans="1:11" x14ac:dyDescent="0.2">
      <c r="A53" s="27" t="s">
        <v>55</v>
      </c>
      <c r="B53" s="28">
        <v>978.3</v>
      </c>
      <c r="C53" s="35">
        <v>1.313600289409844E-2</v>
      </c>
      <c r="D53" s="35">
        <v>0.95986403193902381</v>
      </c>
      <c r="E53" s="37">
        <v>0</v>
      </c>
      <c r="F53" s="37">
        <f t="shared" si="0"/>
        <v>0</v>
      </c>
      <c r="G53" s="37">
        <v>40.56444237521935</v>
      </c>
      <c r="H53" s="37">
        <v>0</v>
      </c>
      <c r="I53" s="37">
        <v>1</v>
      </c>
      <c r="J53" s="37">
        <v>1</v>
      </c>
      <c r="K53" s="38">
        <v>1</v>
      </c>
    </row>
    <row r="54" spans="1:11" x14ac:dyDescent="0.2">
      <c r="A54" s="31" t="s">
        <v>55</v>
      </c>
      <c r="B54">
        <v>978.3</v>
      </c>
      <c r="C54" s="35">
        <v>1.313600289409844E-2</v>
      </c>
      <c r="D54" s="35">
        <v>0.95986403193902381</v>
      </c>
      <c r="E54" s="35">
        <v>2</v>
      </c>
      <c r="F54" s="35">
        <f t="shared" si="0"/>
        <v>0.12344227749359998</v>
      </c>
      <c r="G54" s="35">
        <v>39.468000000000004</v>
      </c>
      <c r="H54" s="35">
        <v>7.3677960163498285E-2</v>
      </c>
      <c r="I54" s="35">
        <v>1</v>
      </c>
      <c r="J54" s="35">
        <v>1</v>
      </c>
      <c r="K54" s="36">
        <v>1</v>
      </c>
    </row>
    <row r="55" spans="1:11" x14ac:dyDescent="0.2">
      <c r="A55" s="31" t="s">
        <v>55</v>
      </c>
      <c r="B55">
        <v>978.3</v>
      </c>
      <c r="C55" s="35">
        <v>1.313600289409844E-2</v>
      </c>
      <c r="D55" s="35">
        <v>0.95986403193902381</v>
      </c>
      <c r="E55" s="35">
        <v>6</v>
      </c>
      <c r="F55" s="35">
        <f t="shared" si="0"/>
        <v>0.37032683248079995</v>
      </c>
      <c r="G55" s="35">
        <v>37.604599999999998</v>
      </c>
      <c r="H55" s="35">
        <v>0.20526662234187806</v>
      </c>
      <c r="I55" s="35">
        <v>1</v>
      </c>
      <c r="J55" s="35">
        <v>1</v>
      </c>
      <c r="K55" s="36">
        <v>1</v>
      </c>
    </row>
    <row r="56" spans="1:11" x14ac:dyDescent="0.2">
      <c r="A56" s="31" t="s">
        <v>55</v>
      </c>
      <c r="B56">
        <v>978.3</v>
      </c>
      <c r="C56" s="35">
        <v>1.313600289409844E-2</v>
      </c>
      <c r="D56" s="35">
        <v>0.95986403193902381</v>
      </c>
      <c r="E56" s="35">
        <v>10</v>
      </c>
      <c r="F56" s="35">
        <f t="shared" si="0"/>
        <v>0.61721138746799986</v>
      </c>
      <c r="G56" s="35">
        <v>36.727265393779682</v>
      </c>
      <c r="H56" s="35">
        <v>0.32190516450804679</v>
      </c>
      <c r="I56" s="35">
        <v>1</v>
      </c>
      <c r="J56" s="35">
        <v>1</v>
      </c>
      <c r="K56" s="36">
        <v>1</v>
      </c>
    </row>
    <row r="57" spans="1:11" x14ac:dyDescent="0.2">
      <c r="A57" s="31" t="s">
        <v>55</v>
      </c>
      <c r="B57">
        <v>978.3</v>
      </c>
      <c r="C57" s="35">
        <v>1.313600289409844E-2</v>
      </c>
      <c r="D57" s="35">
        <v>0.95986403193902381</v>
      </c>
      <c r="E57" s="35">
        <v>15</v>
      </c>
      <c r="F57" s="35">
        <f t="shared" si="0"/>
        <v>0.9258170812019999</v>
      </c>
      <c r="G57" s="35">
        <v>32.341920272134345</v>
      </c>
      <c r="H57" s="35">
        <v>0.42008016163188194</v>
      </c>
      <c r="I57" s="35">
        <v>1</v>
      </c>
      <c r="J57" s="35">
        <v>1</v>
      </c>
      <c r="K57" s="36">
        <v>1</v>
      </c>
    </row>
    <row r="58" spans="1:11" x14ac:dyDescent="0.2">
      <c r="A58" s="33" t="s">
        <v>55</v>
      </c>
      <c r="B58" s="29">
        <v>978.3</v>
      </c>
      <c r="C58" s="39">
        <v>1.313600289409844E-2</v>
      </c>
      <c r="D58" s="39">
        <v>0.95986403193902381</v>
      </c>
      <c r="E58" s="39">
        <v>20</v>
      </c>
      <c r="F58" s="39">
        <f t="shared" si="0"/>
        <v>1.2344227749359997</v>
      </c>
      <c r="G58" s="39">
        <v>26.86023887007768</v>
      </c>
      <c r="H58" s="39">
        <v>0.45963573240701211</v>
      </c>
      <c r="I58" s="39">
        <v>1</v>
      </c>
      <c r="J58" s="39">
        <v>1</v>
      </c>
      <c r="K58" s="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1st_CFD_Results_Filtred_InTrain</vt:lpstr>
      <vt:lpstr>Ground_Truth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Morantes Morales</dc:creator>
  <cp:lastModifiedBy>Daniel Felipe Morantes Morales</cp:lastModifiedBy>
  <dcterms:created xsi:type="dcterms:W3CDTF">2026-03-20T19:32:46Z</dcterms:created>
  <dcterms:modified xsi:type="dcterms:W3CDTF">2026-03-21T02:39:05Z</dcterms:modified>
</cp:coreProperties>
</file>