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orantes/PythonP/ua_alframework_pump/"/>
    </mc:Choice>
  </mc:AlternateContent>
  <xr:revisionPtr revIDLastSave="0" documentId="13_ncr:1_{5A1E5388-FA7E-4945-99A3-D17E99E8CCA0}" xr6:coauthVersionLast="47" xr6:coauthVersionMax="47" xr10:uidLastSave="{00000000-0000-0000-0000-000000000000}"/>
  <bookViews>
    <workbookView xWindow="3480" yWindow="2560" windowWidth="27640" windowHeight="16940" xr2:uid="{1C6FAAD1-936D-E242-A988-4E5C7A90B698}"/>
  </bookViews>
  <sheets>
    <sheet name="gp_variatio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1" i="2" l="1"/>
  <c r="F260" i="2"/>
  <c r="F259" i="2"/>
  <c r="F257" i="2"/>
  <c r="F256" i="2"/>
  <c r="F255" i="2"/>
  <c r="F254" i="2"/>
  <c r="F253" i="2"/>
  <c r="F252" i="2"/>
  <c r="F251" i="2"/>
  <c r="F250" i="2"/>
  <c r="F249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4" i="2"/>
  <c r="F233" i="2"/>
  <c r="F232" i="2"/>
  <c r="F231" i="2"/>
  <c r="F230" i="2"/>
  <c r="F229" i="2"/>
  <c r="F228" i="2"/>
  <c r="F227" i="2"/>
  <c r="F226" i="2"/>
  <c r="F224" i="2"/>
  <c r="F223" i="2"/>
  <c r="F222" i="2"/>
  <c r="F221" i="2"/>
  <c r="F220" i="2"/>
  <c r="F219" i="2"/>
  <c r="F218" i="2"/>
  <c r="F217" i="2"/>
  <c r="F216" i="2"/>
  <c r="F214" i="2"/>
  <c r="F213" i="2"/>
  <c r="F212" i="2"/>
  <c r="F211" i="2"/>
  <c r="F210" i="2"/>
  <c r="F209" i="2"/>
  <c r="F208" i="2"/>
  <c r="F206" i="2"/>
  <c r="F204" i="2"/>
  <c r="F203" i="2"/>
  <c r="F202" i="2"/>
  <c r="F201" i="2"/>
  <c r="F200" i="2"/>
  <c r="F199" i="2"/>
  <c r="F198" i="2"/>
  <c r="F197" i="2"/>
  <c r="F196" i="2"/>
  <c r="F195" i="2"/>
  <c r="F193" i="2"/>
  <c r="F192" i="2"/>
  <c r="F191" i="2"/>
  <c r="F190" i="2"/>
  <c r="F189" i="2"/>
  <c r="F188" i="2"/>
  <c r="F187" i="2"/>
  <c r="F186" i="2"/>
  <c r="F184" i="2"/>
  <c r="F183" i="2"/>
  <c r="F182" i="2"/>
  <c r="F181" i="2"/>
  <c r="F179" i="2"/>
  <c r="F178" i="2"/>
  <c r="F177" i="2"/>
  <c r="F176" i="2"/>
  <c r="F175" i="2"/>
  <c r="F173" i="2"/>
  <c r="F172" i="2"/>
  <c r="F171" i="2"/>
  <c r="F169" i="2"/>
  <c r="F168" i="2"/>
  <c r="F167" i="2"/>
  <c r="F166" i="2"/>
  <c r="F165" i="2"/>
  <c r="F164" i="2"/>
  <c r="F162" i="2"/>
  <c r="F160" i="2"/>
  <c r="F159" i="2"/>
  <c r="F158" i="2"/>
  <c r="F157" i="2"/>
  <c r="F156" i="2"/>
  <c r="F155" i="2"/>
  <c r="F154" i="2"/>
  <c r="F153" i="2"/>
  <c r="F152" i="2"/>
  <c r="E26" i="2"/>
  <c r="E28" i="2"/>
  <c r="E30" i="2"/>
  <c r="E56" i="2"/>
  <c r="E57" i="2"/>
  <c r="E58" i="2"/>
  <c r="E59" i="2"/>
  <c r="E60" i="2"/>
  <c r="E61" i="2"/>
  <c r="E62" i="2"/>
  <c r="E63" i="2"/>
  <c r="E64" i="2"/>
  <c r="E65" i="2"/>
  <c r="E67" i="2"/>
  <c r="E69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</calcChain>
</file>

<file path=xl/sharedStrings.xml><?xml version="1.0" encoding="utf-8"?>
<sst xmlns="http://schemas.openxmlformats.org/spreadsheetml/2006/main" count="271" uniqueCount="64">
  <si>
    <t>Liquid</t>
  </si>
  <si>
    <t>rho(kg/m3)</t>
  </si>
  <si>
    <t>k(Pa*s^n)</t>
  </si>
  <si>
    <t>n(-)</t>
  </si>
  <si>
    <t>Flow Rate(GPM)</t>
  </si>
  <si>
    <t>Mass Flow[kg/s]</t>
  </si>
  <si>
    <t>TotalHead[m]</t>
  </si>
  <si>
    <t>Efficiency[-]</t>
  </si>
  <si>
    <t>Torque[N-m]</t>
  </si>
  <si>
    <t>Break Power[W]</t>
  </si>
  <si>
    <t>Hydraulic Power[W]</t>
  </si>
  <si>
    <t>1THVARC1</t>
  </si>
  <si>
    <t>1THVARC2</t>
  </si>
  <si>
    <t>2THVARC1</t>
  </si>
  <si>
    <t>2THVARC2</t>
  </si>
  <si>
    <t>3THVARC1</t>
  </si>
  <si>
    <t>3THVARC2</t>
  </si>
  <si>
    <t>4THVARC1</t>
  </si>
  <si>
    <t>4THVARC2</t>
  </si>
  <si>
    <t>5THVARC1</t>
  </si>
  <si>
    <t>5THVARC2</t>
  </si>
  <si>
    <t>6THVARC1</t>
  </si>
  <si>
    <t>6THVARC2</t>
  </si>
  <si>
    <t>7THVARC1</t>
  </si>
  <si>
    <t>7THVARC2</t>
  </si>
  <si>
    <t>8THNEWVARC1</t>
  </si>
  <si>
    <t>8THNEWVARC2</t>
  </si>
  <si>
    <t>9THNEWVARC1</t>
  </si>
  <si>
    <t>9THNEWVARC2</t>
  </si>
  <si>
    <t>10THNEWVARC1</t>
  </si>
  <si>
    <t>10THNEWVARC2</t>
  </si>
  <si>
    <t>Water</t>
  </si>
  <si>
    <t>Sunflower oil</t>
  </si>
  <si>
    <t>Mineral oil</t>
  </si>
  <si>
    <t>IsoparL oil</t>
  </si>
  <si>
    <t>SF1N</t>
  </si>
  <si>
    <t>SF2N</t>
  </si>
  <si>
    <t>SF3N</t>
  </si>
  <si>
    <t>SF4N</t>
  </si>
  <si>
    <t>SF5N</t>
  </si>
  <si>
    <t>SF6N</t>
  </si>
  <si>
    <t>SF2CF</t>
  </si>
  <si>
    <t>SF8CF</t>
  </si>
  <si>
    <t>SF9CF</t>
  </si>
  <si>
    <t>SF1BO</t>
  </si>
  <si>
    <t>SF2BO</t>
  </si>
  <si>
    <t>SF3BO</t>
  </si>
  <si>
    <t>SF4BO</t>
  </si>
  <si>
    <t>SF5BO</t>
  </si>
  <si>
    <t>SF6BO</t>
  </si>
  <si>
    <t>SF7BO</t>
  </si>
  <si>
    <t>SF8BO</t>
  </si>
  <si>
    <t>SF9BO</t>
  </si>
  <si>
    <t>SF11PL</t>
  </si>
  <si>
    <t>SF12PL</t>
  </si>
  <si>
    <t>SF13PL</t>
  </si>
  <si>
    <t>SF14PL</t>
  </si>
  <si>
    <t>SF16PL</t>
  </si>
  <si>
    <t>SF17PL</t>
  </si>
  <si>
    <t>SF20PL</t>
  </si>
  <si>
    <t>SF11CF</t>
  </si>
  <si>
    <t>SF12CF</t>
  </si>
  <si>
    <t>SF13CF</t>
  </si>
  <si>
    <t>SF14CF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</si>
</sst>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0"/>
    <numFmt numFmtId="166" formatCode="0.00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165" fontId="0" fillId="0" borderId="0" xfId="0" applyNumberFormat="1"/>
    <xf numFmtId="164" fontId="1" fillId="0" borderId="9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 wrapText="1"/>
    </xf>
    <xf numFmtId="164" fontId="1" fillId="0" borderId="9" xfId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/>
    </xf>
    <xf numFmtId="164" fontId="4" fillId="2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CE585B75-3A60-8746-A2A1-5AAC67272C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E575-BF5E-E248-8B65-4C1699D64355}">
  <dimension ref="A1:K261"/>
  <sheetViews>
    <sheetView tabSelected="1" workbookViewId="0">
      <selection activeCell="E16" sqref="E16"/>
    </sheetView>
  </sheetViews>
  <sheetFormatPr baseColWidth="10" defaultRowHeight="16" x14ac:dyDescent="0.2"/>
  <sheetData>
    <row r="1" spans="1:11" ht="34" x14ac:dyDescent="0.2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 x14ac:dyDescent="0.2">
      <c r="A2" s="16" t="s">
        <v>31</v>
      </c>
      <c r="B2" s="17">
        <v>997</v>
      </c>
      <c r="C2" s="17">
        <v>1E-3</v>
      </c>
      <c r="D2" s="17">
        <v>1</v>
      </c>
      <c r="E2" s="17">
        <v>0</v>
      </c>
      <c r="F2" s="17">
        <v>0</v>
      </c>
      <c r="G2" s="17">
        <v>41.73171</v>
      </c>
      <c r="H2">
        <v>0</v>
      </c>
      <c r="I2" s="17">
        <v>1.3828341168367799</v>
      </c>
      <c r="J2" s="17">
        <v>499.59469999999999</v>
      </c>
      <c r="K2" s="17">
        <v>1</v>
      </c>
    </row>
    <row r="3" spans="1:11" x14ac:dyDescent="0.2">
      <c r="A3" s="18" t="s">
        <v>31</v>
      </c>
      <c r="B3" s="19">
        <v>997</v>
      </c>
      <c r="C3" s="19">
        <v>1E-3</v>
      </c>
      <c r="D3" s="19">
        <v>1</v>
      </c>
      <c r="E3" s="19">
        <v>5</v>
      </c>
      <c r="F3" s="19">
        <v>0.31450462706000004</v>
      </c>
      <c r="G3" s="19">
        <v>39.211840000000002</v>
      </c>
      <c r="H3">
        <v>0.22725870000000001</v>
      </c>
      <c r="I3" s="19">
        <v>1.4734828435178</v>
      </c>
      <c r="J3" s="19">
        <v>532.34450000000004</v>
      </c>
      <c r="K3" s="17">
        <v>1</v>
      </c>
    </row>
    <row r="4" spans="1:11" x14ac:dyDescent="0.2">
      <c r="A4" s="18" t="s">
        <v>31</v>
      </c>
      <c r="B4" s="19">
        <v>997</v>
      </c>
      <c r="C4" s="19">
        <v>1E-3</v>
      </c>
      <c r="D4" s="19">
        <v>1</v>
      </c>
      <c r="E4" s="19">
        <v>10</v>
      </c>
      <c r="F4" s="19">
        <v>0.62900925412000008</v>
      </c>
      <c r="G4" s="19">
        <v>37.667990000000003</v>
      </c>
      <c r="H4">
        <v>0.38916679999999998</v>
      </c>
      <c r="I4" s="19">
        <v>1.6531604507811499</v>
      </c>
      <c r="J4" s="19">
        <v>597.25900000000001</v>
      </c>
      <c r="K4" s="17">
        <v>1</v>
      </c>
    </row>
    <row r="5" spans="1:11" x14ac:dyDescent="0.2">
      <c r="A5" s="18" t="s">
        <v>31</v>
      </c>
      <c r="B5" s="19">
        <v>997</v>
      </c>
      <c r="C5" s="19">
        <v>1E-3</v>
      </c>
      <c r="D5" s="19">
        <v>1</v>
      </c>
      <c r="E5" s="19">
        <v>15</v>
      </c>
      <c r="F5" s="19">
        <v>0.9435138811799999</v>
      </c>
      <c r="G5" s="19">
        <v>35.54721</v>
      </c>
      <c r="H5">
        <v>0.48988589999999999</v>
      </c>
      <c r="I5" s="19">
        <v>1.8590037092085201</v>
      </c>
      <c r="J5" s="19">
        <v>671.62670000000003</v>
      </c>
      <c r="K5" s="17">
        <v>1</v>
      </c>
    </row>
    <row r="6" spans="1:11" x14ac:dyDescent="0.2">
      <c r="A6" s="18" t="s">
        <v>31</v>
      </c>
      <c r="B6" s="19">
        <v>997</v>
      </c>
      <c r="C6" s="19">
        <v>1E-3</v>
      </c>
      <c r="D6" s="19">
        <v>1</v>
      </c>
      <c r="E6" s="19">
        <v>20</v>
      </c>
      <c r="F6" s="19">
        <v>1.2580185082400002</v>
      </c>
      <c r="G6" s="19">
        <v>32.335909999999998</v>
      </c>
      <c r="H6">
        <v>0.54287200000000002</v>
      </c>
      <c r="I6" s="19">
        <v>2.0346792091377601</v>
      </c>
      <c r="J6" s="19">
        <v>735.09529999999995</v>
      </c>
      <c r="K6" s="17">
        <v>1</v>
      </c>
    </row>
    <row r="7" spans="1:11" x14ac:dyDescent="0.2">
      <c r="A7" s="20" t="s">
        <v>31</v>
      </c>
      <c r="B7" s="21">
        <v>997</v>
      </c>
      <c r="C7" s="21">
        <v>1E-3</v>
      </c>
      <c r="D7" s="21">
        <v>1</v>
      </c>
      <c r="E7" s="21">
        <v>25</v>
      </c>
      <c r="F7" s="21">
        <v>1.5725231352999998</v>
      </c>
      <c r="G7" s="21">
        <v>26.93712</v>
      </c>
      <c r="H7">
        <v>0.54184319999999997</v>
      </c>
      <c r="I7" s="21">
        <v>2.1227357726089702</v>
      </c>
      <c r="J7" s="21">
        <v>766.90869999999995</v>
      </c>
      <c r="K7" s="17">
        <v>1</v>
      </c>
    </row>
    <row r="8" spans="1:11" x14ac:dyDescent="0.2">
      <c r="A8" s="16" t="s">
        <v>32</v>
      </c>
      <c r="B8" s="17">
        <v>922</v>
      </c>
      <c r="C8" s="17">
        <v>6.9000000000000006E-2</v>
      </c>
      <c r="D8" s="17">
        <v>1</v>
      </c>
      <c r="E8" s="17">
        <v>0</v>
      </c>
      <c r="F8" s="17">
        <v>0</v>
      </c>
      <c r="G8" s="17">
        <v>35.37229</v>
      </c>
      <c r="H8">
        <v>0</v>
      </c>
      <c r="I8" s="17">
        <v>1.8470974258847099</v>
      </c>
      <c r="J8" s="17">
        <v>667.3252</v>
      </c>
      <c r="K8" s="17">
        <v>1</v>
      </c>
    </row>
    <row r="9" spans="1:11" x14ac:dyDescent="0.2">
      <c r="A9" s="18" t="s">
        <v>32</v>
      </c>
      <c r="B9" s="19">
        <v>922</v>
      </c>
      <c r="C9" s="19">
        <v>6.9000000000000006E-2</v>
      </c>
      <c r="D9" s="19">
        <v>1</v>
      </c>
      <c r="E9" s="19">
        <v>5</v>
      </c>
      <c r="F9" s="19">
        <v>0.29084580355999995</v>
      </c>
      <c r="G9" s="19">
        <v>32.822380000000003</v>
      </c>
      <c r="H9">
        <v>0.12883049999999999</v>
      </c>
      <c r="I9" s="19">
        <v>2.0120339371221401</v>
      </c>
      <c r="J9" s="19">
        <v>726.91399999999999</v>
      </c>
      <c r="K9" s="17">
        <v>1</v>
      </c>
    </row>
    <row r="10" spans="1:11" x14ac:dyDescent="0.2">
      <c r="A10" s="18" t="s">
        <v>32</v>
      </c>
      <c r="B10" s="19">
        <v>922</v>
      </c>
      <c r="C10" s="19">
        <v>6.9000000000000006E-2</v>
      </c>
      <c r="D10" s="19">
        <v>1</v>
      </c>
      <c r="E10" s="19">
        <v>10</v>
      </c>
      <c r="F10" s="19">
        <v>0.5816916071199999</v>
      </c>
      <c r="G10" s="19">
        <v>29.80836</v>
      </c>
      <c r="H10">
        <v>0.21183399999999999</v>
      </c>
      <c r="I10" s="19">
        <v>2.2225757252473399</v>
      </c>
      <c r="J10" s="19">
        <v>802.97919999999999</v>
      </c>
      <c r="K10" s="17">
        <v>1</v>
      </c>
    </row>
    <row r="11" spans="1:11" x14ac:dyDescent="0.2">
      <c r="A11" s="18" t="s">
        <v>32</v>
      </c>
      <c r="B11" s="19">
        <v>922</v>
      </c>
      <c r="C11" s="19">
        <v>6.9000000000000006E-2</v>
      </c>
      <c r="D11" s="19">
        <v>1</v>
      </c>
      <c r="E11" s="19">
        <v>15</v>
      </c>
      <c r="F11" s="19">
        <v>0.87253741068000001</v>
      </c>
      <c r="G11" s="19">
        <v>25.374400000000001</v>
      </c>
      <c r="H11">
        <v>0.24930450000000001</v>
      </c>
      <c r="I11" s="19">
        <v>2.4114100015513902</v>
      </c>
      <c r="J11" s="19">
        <v>871.20180000000005</v>
      </c>
      <c r="K11" s="17">
        <v>1</v>
      </c>
    </row>
    <row r="12" spans="1:11" x14ac:dyDescent="0.2">
      <c r="A12" s="18" t="s">
        <v>32</v>
      </c>
      <c r="B12" s="19">
        <v>922</v>
      </c>
      <c r="C12" s="19">
        <v>6.9000000000000006E-2</v>
      </c>
      <c r="D12" s="19">
        <v>1</v>
      </c>
      <c r="E12" s="19">
        <v>20</v>
      </c>
      <c r="F12" s="19">
        <v>1.1633832142399998</v>
      </c>
      <c r="G12" s="19">
        <v>18.967880000000001</v>
      </c>
      <c r="H12">
        <v>0.23150670000000001</v>
      </c>
      <c r="I12" s="19">
        <v>2.58820883352083</v>
      </c>
      <c r="J12" s="19">
        <v>935.07629999999995</v>
      </c>
      <c r="K12" s="17">
        <v>1</v>
      </c>
    </row>
    <row r="13" spans="1:11" x14ac:dyDescent="0.2">
      <c r="A13" s="20" t="s">
        <v>32</v>
      </c>
      <c r="B13" s="21">
        <v>922</v>
      </c>
      <c r="C13" s="21">
        <v>6.9000000000000006E-2</v>
      </c>
      <c r="D13" s="21">
        <v>1</v>
      </c>
      <c r="E13" s="21">
        <v>25</v>
      </c>
      <c r="F13" s="21">
        <v>1.4542290177999999</v>
      </c>
      <c r="G13" s="21">
        <v>11.423170000000001</v>
      </c>
      <c r="H13">
        <v>0.16313040000000001</v>
      </c>
      <c r="I13" s="21">
        <v>2.7650672091978699</v>
      </c>
      <c r="J13" s="21">
        <v>998.97220000000004</v>
      </c>
      <c r="K13" s="17">
        <v>1</v>
      </c>
    </row>
    <row r="14" spans="1:11" x14ac:dyDescent="0.2">
      <c r="A14" s="16" t="s">
        <v>33</v>
      </c>
      <c r="B14" s="17">
        <v>863</v>
      </c>
      <c r="C14" s="17">
        <v>3.1E-2</v>
      </c>
      <c r="D14" s="17">
        <v>1</v>
      </c>
      <c r="E14" s="17">
        <v>0</v>
      </c>
      <c r="F14" s="17">
        <v>0</v>
      </c>
      <c r="G14" s="17">
        <v>37.533639999999998</v>
      </c>
      <c r="H14">
        <v>0</v>
      </c>
      <c r="I14" s="17">
        <v>1.5198181839651701</v>
      </c>
      <c r="J14" s="17">
        <v>549.0847</v>
      </c>
      <c r="K14" s="17">
        <v>1</v>
      </c>
    </row>
    <row r="15" spans="1:11" x14ac:dyDescent="0.2">
      <c r="A15" s="18" t="s">
        <v>33</v>
      </c>
      <c r="B15" s="19">
        <v>863</v>
      </c>
      <c r="C15" s="19">
        <v>3.1E-2</v>
      </c>
      <c r="D15" s="19">
        <v>1</v>
      </c>
      <c r="E15" s="19">
        <v>5</v>
      </c>
      <c r="F15" s="19">
        <v>0.27223419574000002</v>
      </c>
      <c r="G15" s="19">
        <v>35.448839999999997</v>
      </c>
      <c r="H15">
        <v>0.1578812</v>
      </c>
      <c r="I15" s="19">
        <v>1.65972288951581</v>
      </c>
      <c r="J15" s="19">
        <v>599.62990000000002</v>
      </c>
      <c r="K15" s="17">
        <v>1</v>
      </c>
    </row>
    <row r="16" spans="1:11" x14ac:dyDescent="0.2">
      <c r="A16" s="18" t="s">
        <v>33</v>
      </c>
      <c r="B16" s="19">
        <v>863</v>
      </c>
      <c r="C16" s="19">
        <v>3.1E-2</v>
      </c>
      <c r="D16" s="19">
        <v>1</v>
      </c>
      <c r="E16" s="19">
        <v>10</v>
      </c>
      <c r="F16" s="19">
        <v>0.54446839148000004</v>
      </c>
      <c r="G16" s="19">
        <v>32.996630000000003</v>
      </c>
      <c r="H16">
        <v>0.26576470000000002</v>
      </c>
      <c r="I16" s="19">
        <v>1.83555022611566</v>
      </c>
      <c r="J16" s="19">
        <v>663.15340000000003</v>
      </c>
      <c r="K16" s="17">
        <v>1</v>
      </c>
    </row>
    <row r="17" spans="1:11" x14ac:dyDescent="0.2">
      <c r="A17" s="18" t="s">
        <v>33</v>
      </c>
      <c r="B17" s="19">
        <v>863</v>
      </c>
      <c r="C17" s="19">
        <v>3.1E-2</v>
      </c>
      <c r="D17" s="19">
        <v>1</v>
      </c>
      <c r="E17" s="19">
        <v>15</v>
      </c>
      <c r="F17" s="19">
        <v>0.81670258722</v>
      </c>
      <c r="G17" s="19">
        <v>29.174679999999999</v>
      </c>
      <c r="H17">
        <v>0.3218183</v>
      </c>
      <c r="I17" s="19">
        <v>2.0103912236762702</v>
      </c>
      <c r="J17" s="19">
        <v>726.32050000000004</v>
      </c>
      <c r="K17" s="17">
        <v>1</v>
      </c>
    </row>
    <row r="18" spans="1:11" x14ac:dyDescent="0.2">
      <c r="A18" s="18" t="s">
        <v>33</v>
      </c>
      <c r="B18" s="19">
        <v>863</v>
      </c>
      <c r="C18" s="19">
        <v>3.1E-2</v>
      </c>
      <c r="D18" s="19">
        <v>1</v>
      </c>
      <c r="E18" s="19">
        <v>20</v>
      </c>
      <c r="F18" s="19">
        <v>1.0889367829600001</v>
      </c>
      <c r="G18" s="19">
        <v>24.040900000000001</v>
      </c>
      <c r="H18">
        <v>0.3313236</v>
      </c>
      <c r="I18" s="19">
        <v>2.1454690697716101</v>
      </c>
      <c r="J18" s="19">
        <v>775.12180000000001</v>
      </c>
      <c r="K18" s="17">
        <v>1</v>
      </c>
    </row>
    <row r="19" spans="1:11" x14ac:dyDescent="0.2">
      <c r="A19" s="20" t="s">
        <v>33</v>
      </c>
      <c r="B19" s="21">
        <v>863</v>
      </c>
      <c r="C19" s="21">
        <v>3.1E-2</v>
      </c>
      <c r="D19" s="21">
        <v>1</v>
      </c>
      <c r="E19" s="21">
        <v>25</v>
      </c>
      <c r="F19" s="21">
        <v>1.3611709786999999</v>
      </c>
      <c r="G19" s="21">
        <v>16.75647</v>
      </c>
      <c r="H19">
        <v>0.27247379999999999</v>
      </c>
      <c r="I19" s="21">
        <v>2.2729593412220099</v>
      </c>
      <c r="J19" s="21">
        <v>821.18190000000004</v>
      </c>
      <c r="K19" s="17">
        <v>1</v>
      </c>
    </row>
    <row r="20" spans="1:11" x14ac:dyDescent="0.2">
      <c r="A20" s="16" t="s">
        <v>34</v>
      </c>
      <c r="B20" s="17">
        <v>762</v>
      </c>
      <c r="C20" s="17">
        <v>1E-3</v>
      </c>
      <c r="D20" s="17">
        <v>1</v>
      </c>
      <c r="E20" s="17">
        <v>0</v>
      </c>
      <c r="F20" s="17">
        <v>0</v>
      </c>
      <c r="G20" s="17">
        <v>41.358930000000001</v>
      </c>
      <c r="H20">
        <v>0</v>
      </c>
      <c r="I20" s="17">
        <v>1.04346594563331</v>
      </c>
      <c r="J20" s="17">
        <v>376.98669999999998</v>
      </c>
      <c r="K20" s="17">
        <v>1</v>
      </c>
    </row>
    <row r="21" spans="1:11" x14ac:dyDescent="0.2">
      <c r="A21" s="18" t="s">
        <v>34</v>
      </c>
      <c r="B21" s="19">
        <v>762</v>
      </c>
      <c r="C21" s="19">
        <v>1E-3</v>
      </c>
      <c r="D21" s="19">
        <v>1</v>
      </c>
      <c r="E21" s="19">
        <v>5</v>
      </c>
      <c r="F21" s="19">
        <v>0.24037364676</v>
      </c>
      <c r="G21" s="19">
        <v>39.035150000000002</v>
      </c>
      <c r="H21">
        <v>0.22350200000000001</v>
      </c>
      <c r="I21" s="19">
        <v>1.13994142813438</v>
      </c>
      <c r="J21" s="19">
        <v>411.84160000000003</v>
      </c>
      <c r="K21" s="17">
        <v>1</v>
      </c>
    </row>
    <row r="22" spans="1:11" x14ac:dyDescent="0.2">
      <c r="A22" s="18" t="s">
        <v>34</v>
      </c>
      <c r="B22" s="19">
        <v>762</v>
      </c>
      <c r="C22" s="19">
        <v>1E-3</v>
      </c>
      <c r="D22" s="19">
        <v>1</v>
      </c>
      <c r="E22" s="19">
        <v>10</v>
      </c>
      <c r="F22" s="19">
        <v>0.48074729352000001</v>
      </c>
      <c r="G22" s="19">
        <v>37.435940000000002</v>
      </c>
      <c r="H22">
        <v>0.38404919999999998</v>
      </c>
      <c r="I22" s="19">
        <v>1.27244803077522</v>
      </c>
      <c r="J22" s="19">
        <v>459.714</v>
      </c>
      <c r="K22" s="17">
        <v>1</v>
      </c>
    </row>
    <row r="23" spans="1:11" x14ac:dyDescent="0.2">
      <c r="A23" s="18" t="s">
        <v>34</v>
      </c>
      <c r="B23" s="19">
        <v>762</v>
      </c>
      <c r="C23" s="19">
        <v>1E-3</v>
      </c>
      <c r="D23" s="19">
        <v>1</v>
      </c>
      <c r="E23" s="19">
        <v>15</v>
      </c>
      <c r="F23" s="19">
        <v>0.72112094028000007</v>
      </c>
      <c r="G23" s="19">
        <v>35.357559999999999</v>
      </c>
      <c r="H23">
        <v>0.4827109</v>
      </c>
      <c r="I23" s="19">
        <v>1.4342490667774299</v>
      </c>
      <c r="J23" s="19">
        <v>518.16999999999996</v>
      </c>
      <c r="K23" s="17">
        <v>1</v>
      </c>
    </row>
    <row r="24" spans="1:11" x14ac:dyDescent="0.2">
      <c r="A24" s="18" t="s">
        <v>34</v>
      </c>
      <c r="B24" s="19">
        <v>762</v>
      </c>
      <c r="C24" s="19">
        <v>1E-3</v>
      </c>
      <c r="D24" s="19">
        <v>1</v>
      </c>
      <c r="E24" s="19">
        <v>20</v>
      </c>
      <c r="F24" s="19">
        <v>0.96149458704000001</v>
      </c>
      <c r="G24" s="19">
        <v>32.062199999999997</v>
      </c>
      <c r="H24">
        <v>0.53417870000000001</v>
      </c>
      <c r="I24" s="19">
        <v>1.5670211887163701</v>
      </c>
      <c r="J24" s="19">
        <v>566.13840000000005</v>
      </c>
      <c r="K24" s="17">
        <v>1</v>
      </c>
    </row>
    <row r="25" spans="1:11" x14ac:dyDescent="0.2">
      <c r="A25" s="20" t="s">
        <v>34</v>
      </c>
      <c r="B25" s="21">
        <v>762</v>
      </c>
      <c r="C25" s="21">
        <v>1E-3</v>
      </c>
      <c r="D25" s="21">
        <v>1</v>
      </c>
      <c r="E25" s="21">
        <v>25</v>
      </c>
      <c r="F25" s="21">
        <v>1.2018682338</v>
      </c>
      <c r="G25" s="21">
        <v>26.563500000000001</v>
      </c>
      <c r="H25">
        <v>0.53093959999999996</v>
      </c>
      <c r="I25" s="21">
        <v>1.6327449301054699</v>
      </c>
      <c r="J25" s="21">
        <v>589.88319999999999</v>
      </c>
      <c r="K25" s="17">
        <v>1</v>
      </c>
    </row>
    <row r="26" spans="1:11" x14ac:dyDescent="0.2">
      <c r="A26" s="16" t="s">
        <v>35</v>
      </c>
      <c r="B26" s="17">
        <v>839.82976074137764</v>
      </c>
      <c r="C26" s="17">
        <v>3.1543033455886972E-2</v>
      </c>
      <c r="D26" s="17">
        <v>1</v>
      </c>
      <c r="E26" s="17">
        <f>0</f>
        <v>0</v>
      </c>
      <c r="F26" s="17">
        <v>0</v>
      </c>
      <c r="G26" s="17">
        <v>37.442799999999998</v>
      </c>
      <c r="H26">
        <v>0</v>
      </c>
      <c r="I26" s="17">
        <v>1.4887604922051301</v>
      </c>
      <c r="J26" s="17">
        <v>537.86410000000001</v>
      </c>
      <c r="K26" s="17">
        <v>1</v>
      </c>
    </row>
    <row r="27" spans="1:11" x14ac:dyDescent="0.2">
      <c r="A27" s="18" t="s">
        <v>35</v>
      </c>
      <c r="B27" s="19">
        <v>839.82976074137764</v>
      </c>
      <c r="C27" s="19">
        <v>3.1543033455886972E-2</v>
      </c>
      <c r="D27" s="19">
        <v>1</v>
      </c>
      <c r="E27" s="19">
        <v>6.25</v>
      </c>
      <c r="F27" s="19">
        <v>0.33115640132379137</v>
      </c>
      <c r="G27" s="19">
        <v>34.5047</v>
      </c>
      <c r="H27">
        <v>0.18768099999999999</v>
      </c>
      <c r="I27" s="19">
        <v>1.6531499999999999</v>
      </c>
      <c r="J27" s="19">
        <v>597.25400000000002</v>
      </c>
      <c r="K27" s="17">
        <v>1</v>
      </c>
    </row>
    <row r="28" spans="1:11" x14ac:dyDescent="0.2">
      <c r="A28" s="18" t="s">
        <v>35</v>
      </c>
      <c r="B28" s="19">
        <v>839.82976074137764</v>
      </c>
      <c r="C28" s="19">
        <v>3.1543033455886972E-2</v>
      </c>
      <c r="D28" s="19">
        <v>1</v>
      </c>
      <c r="E28" s="19">
        <f>AVERAGE($E$2:$E$7)</f>
        <v>12.5</v>
      </c>
      <c r="F28" s="19">
        <v>0.66231280264758274</v>
      </c>
      <c r="G28" s="19">
        <v>31.114229999999999</v>
      </c>
      <c r="H28">
        <v>0.2983729</v>
      </c>
      <c r="I28" s="19">
        <v>1.87535771543595</v>
      </c>
      <c r="J28" s="19">
        <v>677.53520000000003</v>
      </c>
      <c r="K28" s="17">
        <v>1</v>
      </c>
    </row>
    <row r="29" spans="1:11" x14ac:dyDescent="0.2">
      <c r="A29" s="18" t="s">
        <v>35</v>
      </c>
      <c r="B29" s="19">
        <v>839.82976074137764</v>
      </c>
      <c r="C29" s="19">
        <v>3.1543033455886972E-2</v>
      </c>
      <c r="D29" s="19">
        <v>1</v>
      </c>
      <c r="E29" s="19">
        <v>18.75</v>
      </c>
      <c r="F29" s="19">
        <v>0.99346920397137406</v>
      </c>
      <c r="G29" s="23">
        <v>25.2592</v>
      </c>
      <c r="H29">
        <v>0.32983200000000001</v>
      </c>
      <c r="I29" s="22">
        <v>2.0658599999999998</v>
      </c>
      <c r="J29" s="23">
        <v>746.36099999999999</v>
      </c>
      <c r="K29" s="17">
        <v>1</v>
      </c>
    </row>
    <row r="30" spans="1:11" x14ac:dyDescent="0.2">
      <c r="A30" s="18" t="s">
        <v>35</v>
      </c>
      <c r="B30" s="19">
        <v>839.82976074137764</v>
      </c>
      <c r="C30" s="19">
        <v>3.1543033455886972E-2</v>
      </c>
      <c r="D30" s="19">
        <v>1</v>
      </c>
      <c r="E30" s="19">
        <f>25</f>
        <v>25</v>
      </c>
      <c r="F30" s="19">
        <v>1.3246256052951655</v>
      </c>
      <c r="G30" s="19">
        <v>16.799199999999999</v>
      </c>
      <c r="H30">
        <v>0.27624359999999998</v>
      </c>
      <c r="I30" s="19">
        <v>2.1873124165895699</v>
      </c>
      <c r="J30" s="19">
        <v>790.23910000000001</v>
      </c>
      <c r="K30" s="17">
        <v>1</v>
      </c>
    </row>
    <row r="31" spans="1:11" x14ac:dyDescent="0.2">
      <c r="A31" s="16" t="s">
        <v>36</v>
      </c>
      <c r="B31" s="17">
        <v>933.9215973391257</v>
      </c>
      <c r="C31" s="17">
        <v>3.030035090738576E-2</v>
      </c>
      <c r="D31" s="17">
        <v>1</v>
      </c>
      <c r="E31" s="17">
        <v>0</v>
      </c>
      <c r="F31" s="17">
        <v>0</v>
      </c>
      <c r="G31" s="17">
        <v>37.730060000000002</v>
      </c>
      <c r="H31">
        <v>0</v>
      </c>
      <c r="I31" s="17">
        <v>1.62462074431193</v>
      </c>
      <c r="J31" s="17">
        <v>586.94809999999995</v>
      </c>
      <c r="K31" s="17">
        <v>1</v>
      </c>
    </row>
    <row r="32" spans="1:11" x14ac:dyDescent="0.2">
      <c r="A32" s="18" t="s">
        <v>36</v>
      </c>
      <c r="B32" s="19">
        <v>933.9215973391257</v>
      </c>
      <c r="C32" s="19">
        <v>3.030035090738576E-2</v>
      </c>
      <c r="D32" s="19">
        <v>1</v>
      </c>
      <c r="E32" s="19">
        <v>6.25</v>
      </c>
      <c r="F32" s="19">
        <v>0.36825810390474079</v>
      </c>
      <c r="G32" s="19">
        <v>35.1389</v>
      </c>
      <c r="H32">
        <v>0.19344800000000001</v>
      </c>
      <c r="I32" s="19">
        <v>1.8163400000000001</v>
      </c>
      <c r="J32" s="19">
        <v>656.21400000000006</v>
      </c>
      <c r="K32" s="17">
        <v>1</v>
      </c>
    </row>
    <row r="33" spans="1:11" x14ac:dyDescent="0.2">
      <c r="A33" s="18" t="s">
        <v>36</v>
      </c>
      <c r="B33" s="19">
        <v>933.9215973391257</v>
      </c>
      <c r="C33" s="19">
        <v>3.030035090738576E-2</v>
      </c>
      <c r="D33" s="19">
        <v>1</v>
      </c>
      <c r="E33" s="19">
        <v>12.5</v>
      </c>
      <c r="F33" s="19">
        <v>0.73651620780948157</v>
      </c>
      <c r="G33" s="19">
        <v>31.848510000000001</v>
      </c>
      <c r="H33">
        <v>0.3104537</v>
      </c>
      <c r="I33" s="19">
        <v>2.0516150641372999</v>
      </c>
      <c r="J33" s="19">
        <v>741.21400000000006</v>
      </c>
      <c r="K33" s="17">
        <v>1</v>
      </c>
    </row>
    <row r="34" spans="1:11" x14ac:dyDescent="0.2">
      <c r="A34" s="18" t="s">
        <v>36</v>
      </c>
      <c r="B34" s="19">
        <v>933.9215973391257</v>
      </c>
      <c r="C34" s="19">
        <v>3.030035090738576E-2</v>
      </c>
      <c r="D34" s="19">
        <v>1</v>
      </c>
      <c r="E34" s="19">
        <v>18.75</v>
      </c>
      <c r="F34" s="19">
        <v>1.1047743117142221</v>
      </c>
      <c r="G34" s="19">
        <v>25.899000000000001</v>
      </c>
      <c r="H34">
        <v>0.34370099999999998</v>
      </c>
      <c r="I34" s="19">
        <v>2.2604600000000001</v>
      </c>
      <c r="J34" s="19">
        <v>816.66700000000003</v>
      </c>
      <c r="K34" s="17">
        <v>1</v>
      </c>
    </row>
    <row r="35" spans="1:11" x14ac:dyDescent="0.2">
      <c r="A35" s="20" t="s">
        <v>36</v>
      </c>
      <c r="B35" s="21">
        <v>933.9215973391257</v>
      </c>
      <c r="C35" s="21">
        <v>3.030035090738576E-2</v>
      </c>
      <c r="D35" s="21">
        <v>1</v>
      </c>
      <c r="E35" s="21">
        <v>25</v>
      </c>
      <c r="F35" s="21">
        <v>1.4730324156189631</v>
      </c>
      <c r="G35" s="21">
        <v>17.799659999999999</v>
      </c>
      <c r="H35">
        <v>0.29735250000000002</v>
      </c>
      <c r="I35" s="21">
        <v>2.3942731131436701</v>
      </c>
      <c r="J35" s="21">
        <v>865.01049999999998</v>
      </c>
      <c r="K35" s="17">
        <v>1</v>
      </c>
    </row>
    <row r="36" spans="1:11" x14ac:dyDescent="0.2">
      <c r="A36" s="18" t="s">
        <v>37</v>
      </c>
      <c r="B36" s="19">
        <v>860.87741174247287</v>
      </c>
      <c r="C36" s="19">
        <v>3.8046395686508028E-2</v>
      </c>
      <c r="D36" s="19">
        <v>1</v>
      </c>
      <c r="E36" s="19">
        <v>0</v>
      </c>
      <c r="F36" s="19">
        <v>0</v>
      </c>
      <c r="G36" s="19">
        <v>37.087730000000001</v>
      </c>
      <c r="H36">
        <v>0</v>
      </c>
      <c r="I36" s="19">
        <v>1.56520923202185</v>
      </c>
      <c r="J36" s="19">
        <v>565.4837</v>
      </c>
      <c r="K36" s="17">
        <v>1</v>
      </c>
    </row>
    <row r="37" spans="1:11" x14ac:dyDescent="0.2">
      <c r="A37" s="18" t="s">
        <v>37</v>
      </c>
      <c r="B37" s="19">
        <v>860.87741174247287</v>
      </c>
      <c r="C37" s="19">
        <v>3.8046395686508028E-2</v>
      </c>
      <c r="D37" s="19">
        <v>1</v>
      </c>
      <c r="E37" s="19">
        <v>6.25</v>
      </c>
      <c r="F37" s="19">
        <v>0.33945577899253321</v>
      </c>
      <c r="G37" s="19">
        <v>33.9223</v>
      </c>
      <c r="H37">
        <v>0.18063599999999999</v>
      </c>
      <c r="I37" s="19">
        <v>1.73095</v>
      </c>
      <c r="J37" s="19">
        <v>625.36300000000006</v>
      </c>
      <c r="K37" s="17">
        <v>1</v>
      </c>
    </row>
    <row r="38" spans="1:11" x14ac:dyDescent="0.2">
      <c r="A38" s="18" t="s">
        <v>37</v>
      </c>
      <c r="B38" s="19">
        <v>860.87741174247287</v>
      </c>
      <c r="C38" s="19">
        <v>3.8046395686508028E-2</v>
      </c>
      <c r="D38" s="19">
        <v>1</v>
      </c>
      <c r="E38" s="19">
        <v>12.5</v>
      </c>
      <c r="F38" s="19">
        <v>0.67891155798506642</v>
      </c>
      <c r="G38" s="19">
        <v>30.370239999999999</v>
      </c>
      <c r="H38">
        <v>0.28511839999999999</v>
      </c>
      <c r="I38" s="19">
        <v>1.96362009585622</v>
      </c>
      <c r="J38" s="19">
        <v>709.42290000000003</v>
      </c>
      <c r="K38" s="17">
        <v>1</v>
      </c>
    </row>
    <row r="39" spans="1:11" x14ac:dyDescent="0.2">
      <c r="A39" s="24" t="s">
        <v>37</v>
      </c>
      <c r="B39" s="19">
        <v>860.87741174247287</v>
      </c>
      <c r="C39" s="25">
        <v>3.7999999999999999E-2</v>
      </c>
      <c r="D39" s="25">
        <v>1</v>
      </c>
      <c r="E39" s="19">
        <v>18.75</v>
      </c>
      <c r="F39" s="19">
        <v>1.0183673369775996</v>
      </c>
      <c r="G39" s="19">
        <v>24.3643</v>
      </c>
      <c r="H39">
        <v>0.31162400000000001</v>
      </c>
      <c r="I39" s="19">
        <v>2.1619600000000001</v>
      </c>
      <c r="J39" s="19">
        <v>781.08100000000002</v>
      </c>
      <c r="K39" s="17">
        <v>1</v>
      </c>
    </row>
    <row r="40" spans="1:11" x14ac:dyDescent="0.2">
      <c r="A40" s="20" t="s">
        <v>37</v>
      </c>
      <c r="B40" s="21">
        <v>860.87741174247287</v>
      </c>
      <c r="C40" s="21">
        <v>3.8046395686508028E-2</v>
      </c>
      <c r="D40" s="21">
        <v>1</v>
      </c>
      <c r="E40" s="21">
        <v>25</v>
      </c>
      <c r="F40" s="21">
        <v>1.3578231159701328</v>
      </c>
      <c r="G40" s="21">
        <v>15.78261</v>
      </c>
      <c r="H40">
        <v>0.25427440000000001</v>
      </c>
      <c r="I40" s="21">
        <v>2.2884465677105501</v>
      </c>
      <c r="J40" s="21">
        <v>826.77719999999999</v>
      </c>
      <c r="K40" s="17">
        <v>1</v>
      </c>
    </row>
    <row r="41" spans="1:11" x14ac:dyDescent="0.2">
      <c r="A41" s="18" t="s">
        <v>38</v>
      </c>
      <c r="B41" s="19">
        <v>885.29849877618472</v>
      </c>
      <c r="C41" s="19">
        <v>4.1453076179563612E-2</v>
      </c>
      <c r="D41" s="19">
        <v>1</v>
      </c>
      <c r="E41" s="19">
        <v>0</v>
      </c>
      <c r="F41" s="19">
        <v>0</v>
      </c>
      <c r="G41" s="19">
        <v>36.936999999999998</v>
      </c>
      <c r="H41">
        <v>0</v>
      </c>
      <c r="I41" s="19">
        <v>1.6235832044838501</v>
      </c>
      <c r="J41" s="19">
        <v>586.57330000000002</v>
      </c>
      <c r="K41" s="17">
        <v>1</v>
      </c>
    </row>
    <row r="42" spans="1:11" x14ac:dyDescent="0.2">
      <c r="A42" s="18" t="s">
        <v>38</v>
      </c>
      <c r="B42" s="19">
        <v>885.29849877618472</v>
      </c>
      <c r="C42" s="19">
        <v>4.1453076179563612E-2</v>
      </c>
      <c r="D42" s="19">
        <v>1</v>
      </c>
      <c r="E42" s="19">
        <v>6.25</v>
      </c>
      <c r="F42" s="19">
        <v>0.34908534878934538</v>
      </c>
      <c r="G42" s="19">
        <v>34.021299999999997</v>
      </c>
      <c r="H42">
        <v>0.178732</v>
      </c>
      <c r="I42" s="19">
        <v>1.80427</v>
      </c>
      <c r="J42" s="19">
        <v>651.851</v>
      </c>
      <c r="K42" s="17">
        <v>1</v>
      </c>
    </row>
    <row r="43" spans="1:11" x14ac:dyDescent="0.2">
      <c r="A43" s="18" t="s">
        <v>38</v>
      </c>
      <c r="B43" s="19">
        <v>885.29849877618472</v>
      </c>
      <c r="C43" s="19">
        <v>4.1453076179563612E-2</v>
      </c>
      <c r="D43" s="19">
        <v>1</v>
      </c>
      <c r="E43" s="19">
        <v>12.5</v>
      </c>
      <c r="F43" s="19">
        <v>0.69817069757869077</v>
      </c>
      <c r="G43" s="19">
        <v>30.133009999999999</v>
      </c>
      <c r="H43">
        <v>0.2807635</v>
      </c>
      <c r="I43" s="19">
        <v>2.0346274590885498</v>
      </c>
      <c r="J43" s="19">
        <v>735.07659999999998</v>
      </c>
      <c r="K43" s="17">
        <v>1</v>
      </c>
    </row>
    <row r="44" spans="1:11" x14ac:dyDescent="0.2">
      <c r="A44" s="18" t="s">
        <v>38</v>
      </c>
      <c r="B44" s="19">
        <v>885.29849877618472</v>
      </c>
      <c r="C44" s="19">
        <v>4.1453076179563612E-2</v>
      </c>
      <c r="D44" s="19">
        <v>1</v>
      </c>
      <c r="E44" s="19">
        <v>18.75</v>
      </c>
      <c r="F44" s="19">
        <v>1.047256046368036</v>
      </c>
      <c r="G44" s="19">
        <v>23.979500000000002</v>
      </c>
      <c r="H44">
        <v>0.304145</v>
      </c>
      <c r="I44" s="19">
        <v>2.2419899999999999</v>
      </c>
      <c r="J44" s="19">
        <v>809.995</v>
      </c>
      <c r="K44" s="17">
        <v>1</v>
      </c>
    </row>
    <row r="45" spans="1:11" x14ac:dyDescent="0.2">
      <c r="A45" s="20" t="s">
        <v>38</v>
      </c>
      <c r="B45" s="21">
        <v>885.29849877618472</v>
      </c>
      <c r="C45" s="21">
        <v>4.1453076179563612E-2</v>
      </c>
      <c r="D45" s="21">
        <v>1</v>
      </c>
      <c r="E45" s="21">
        <v>25</v>
      </c>
      <c r="F45" s="21">
        <v>1.3963413951573815</v>
      </c>
      <c r="G45" s="21">
        <v>15.28828</v>
      </c>
      <c r="H45">
        <v>0.2433623</v>
      </c>
      <c r="I45" s="21">
        <v>2.3818704901409</v>
      </c>
      <c r="J45" s="21">
        <v>860.52970000000005</v>
      </c>
      <c r="K45" s="17">
        <v>1</v>
      </c>
    </row>
    <row r="46" spans="1:11" x14ac:dyDescent="0.2">
      <c r="A46" s="18" t="s">
        <v>39</v>
      </c>
      <c r="B46" s="19">
        <v>888.56196631957539</v>
      </c>
      <c r="C46" s="19">
        <v>4.5679652120316203E-2</v>
      </c>
      <c r="D46" s="19">
        <v>1</v>
      </c>
      <c r="E46" s="19">
        <v>0</v>
      </c>
      <c r="F46" s="19">
        <v>0</v>
      </c>
      <c r="G46" s="19">
        <v>36.684370000000001</v>
      </c>
      <c r="H46">
        <v>0</v>
      </c>
      <c r="I46" s="19">
        <v>1.6559323692751899</v>
      </c>
      <c r="J46" s="19">
        <v>598.26049999999998</v>
      </c>
      <c r="K46" s="17">
        <v>1</v>
      </c>
    </row>
    <row r="47" spans="1:11" x14ac:dyDescent="0.2">
      <c r="A47" s="18" t="s">
        <v>39</v>
      </c>
      <c r="B47" s="19">
        <v>888.56196631957539</v>
      </c>
      <c r="C47" s="19">
        <v>4.5679652120316203E-2</v>
      </c>
      <c r="D47" s="19">
        <v>1</v>
      </c>
      <c r="E47" s="19">
        <v>6.25</v>
      </c>
      <c r="F47" s="19">
        <v>0.35037217883279631</v>
      </c>
      <c r="G47" s="19">
        <v>33.5901</v>
      </c>
      <c r="H47">
        <v>0.17410600000000001</v>
      </c>
      <c r="I47" s="19">
        <v>1.83548</v>
      </c>
      <c r="J47" s="19">
        <v>663.12800000000004</v>
      </c>
      <c r="K47" s="17">
        <v>1</v>
      </c>
    </row>
    <row r="48" spans="1:11" x14ac:dyDescent="0.2">
      <c r="A48" s="18" t="s">
        <v>39</v>
      </c>
      <c r="B48" s="19">
        <v>888.56196631957539</v>
      </c>
      <c r="C48" s="19">
        <v>4.5679652120316203E-2</v>
      </c>
      <c r="D48" s="19">
        <v>1</v>
      </c>
      <c r="E48" s="19">
        <v>12.5</v>
      </c>
      <c r="F48" s="19">
        <v>0.70074435766559262</v>
      </c>
      <c r="G48" s="19">
        <v>29.67493</v>
      </c>
      <c r="H48">
        <v>0.27253889999999997</v>
      </c>
      <c r="I48" s="19">
        <v>2.0717730358505602</v>
      </c>
      <c r="J48" s="19">
        <v>748.49670000000003</v>
      </c>
      <c r="K48" s="17">
        <v>1</v>
      </c>
    </row>
    <row r="49" spans="1:11" x14ac:dyDescent="0.2">
      <c r="A49" s="18" t="s">
        <v>39</v>
      </c>
      <c r="B49" s="19">
        <v>888.56196631957539</v>
      </c>
      <c r="C49" s="19">
        <v>4.5679652120316203E-2</v>
      </c>
      <c r="D49" s="19">
        <v>1</v>
      </c>
      <c r="E49" s="19">
        <v>18.75</v>
      </c>
      <c r="F49" s="19">
        <v>1.0511165364983888</v>
      </c>
      <c r="G49" s="19">
        <v>23.4955</v>
      </c>
      <c r="H49">
        <v>0.294018</v>
      </c>
      <c r="I49" s="19">
        <v>2.28078</v>
      </c>
      <c r="J49" s="19">
        <v>824.00699999999995</v>
      </c>
      <c r="K49" s="17">
        <v>1</v>
      </c>
    </row>
    <row r="50" spans="1:11" x14ac:dyDescent="0.2">
      <c r="A50" s="20" t="s">
        <v>39</v>
      </c>
      <c r="B50" s="21">
        <v>888.56196631957539</v>
      </c>
      <c r="C50" s="21">
        <v>4.5679652120316203E-2</v>
      </c>
      <c r="D50" s="21">
        <v>1</v>
      </c>
      <c r="E50" s="21">
        <v>25</v>
      </c>
      <c r="F50" s="21">
        <v>1.4014887153311852</v>
      </c>
      <c r="G50" s="21">
        <v>14.728149999999999</v>
      </c>
      <c r="H50">
        <v>0.2324804</v>
      </c>
      <c r="I50" s="21">
        <v>2.4108638993473601</v>
      </c>
      <c r="J50" s="21">
        <v>871.00450000000001</v>
      </c>
      <c r="K50" s="17">
        <v>1</v>
      </c>
    </row>
    <row r="51" spans="1:11" x14ac:dyDescent="0.2">
      <c r="A51" s="18" t="s">
        <v>40</v>
      </c>
      <c r="B51" s="19">
        <v>961.38082254656194</v>
      </c>
      <c r="C51" s="19">
        <v>1.875592270130795E-2</v>
      </c>
      <c r="D51" s="19">
        <v>1</v>
      </c>
      <c r="E51" s="19">
        <v>0</v>
      </c>
      <c r="F51" s="19">
        <v>0</v>
      </c>
      <c r="G51" s="19">
        <v>38.071010000000001</v>
      </c>
      <c r="H51">
        <v>0</v>
      </c>
      <c r="I51" s="19">
        <v>1.5487934238799299</v>
      </c>
      <c r="J51" s="19">
        <v>559.553</v>
      </c>
      <c r="K51" s="17">
        <v>1</v>
      </c>
    </row>
    <row r="52" spans="1:11" x14ac:dyDescent="0.2">
      <c r="A52" s="18" t="s">
        <v>40</v>
      </c>
      <c r="B52" s="19">
        <v>961.38082254656194</v>
      </c>
      <c r="C52" s="19">
        <v>1.875592270130795E-2</v>
      </c>
      <c r="D52" s="19">
        <v>1</v>
      </c>
      <c r="E52" s="19">
        <v>6.25</v>
      </c>
      <c r="F52" s="19">
        <v>0.37908565328189886</v>
      </c>
      <c r="G52" s="19">
        <v>36.281599999999997</v>
      </c>
      <c r="H52">
        <v>0.20960200000000001</v>
      </c>
      <c r="I52" s="19">
        <v>1.78176</v>
      </c>
      <c r="J52" s="19">
        <v>643.72</v>
      </c>
      <c r="K52" s="17">
        <v>1</v>
      </c>
    </row>
    <row r="53" spans="1:11" x14ac:dyDescent="0.2">
      <c r="A53" s="18" t="s">
        <v>40</v>
      </c>
      <c r="B53" s="19">
        <v>961.38082254656194</v>
      </c>
      <c r="C53" s="19">
        <v>1.875592270130795E-2</v>
      </c>
      <c r="D53" s="19">
        <v>1</v>
      </c>
      <c r="E53" s="19">
        <v>12.5</v>
      </c>
      <c r="F53" s="19">
        <v>0.75817130656379772</v>
      </c>
      <c r="G53" s="19">
        <v>32.957250000000002</v>
      </c>
      <c r="H53">
        <v>0.33598119999999998</v>
      </c>
      <c r="I53" s="19">
        <v>2.0194106497544801</v>
      </c>
      <c r="J53" s="19">
        <v>729.57910000000004</v>
      </c>
      <c r="K53" s="17">
        <v>1</v>
      </c>
    </row>
    <row r="54" spans="1:11" x14ac:dyDescent="0.2">
      <c r="A54" s="18" t="s">
        <v>40</v>
      </c>
      <c r="B54" s="19">
        <v>961.38082254656194</v>
      </c>
      <c r="C54" s="19">
        <v>1.875592270130795E-2</v>
      </c>
      <c r="D54" s="19">
        <v>1</v>
      </c>
      <c r="E54" s="19">
        <v>18.75</v>
      </c>
      <c r="F54" s="19">
        <v>1.1372569598456965</v>
      </c>
      <c r="G54" s="19">
        <v>27.8264</v>
      </c>
      <c r="H54">
        <v>0.386214</v>
      </c>
      <c r="I54" s="19">
        <v>2.2248899999999998</v>
      </c>
      <c r="J54" s="19">
        <v>803.81500000000005</v>
      </c>
      <c r="K54" s="17">
        <v>1</v>
      </c>
    </row>
    <row r="55" spans="1:11" x14ac:dyDescent="0.2">
      <c r="A55" s="20" t="s">
        <v>40</v>
      </c>
      <c r="B55" s="21">
        <v>961.38082254656194</v>
      </c>
      <c r="C55" s="21">
        <v>1.875592270130795E-2</v>
      </c>
      <c r="D55" s="21">
        <v>1</v>
      </c>
      <c r="E55" s="21">
        <v>25</v>
      </c>
      <c r="F55" s="21">
        <v>1.5163426131275954</v>
      </c>
      <c r="G55" s="21">
        <v>20.085730000000002</v>
      </c>
      <c r="H55">
        <v>0.35012359999999998</v>
      </c>
      <c r="I55" s="21">
        <v>2.36202663928524</v>
      </c>
      <c r="J55" s="21">
        <v>853.36040000000003</v>
      </c>
      <c r="K55" s="17">
        <v>1</v>
      </c>
    </row>
    <row r="56" spans="1:11" x14ac:dyDescent="0.2">
      <c r="A56" s="18" t="s">
        <v>41</v>
      </c>
      <c r="B56" s="19">
        <v>1011.417963191319</v>
      </c>
      <c r="C56" s="19">
        <v>69.065420055865189</v>
      </c>
      <c r="D56" s="19">
        <v>0.34237560521218108</v>
      </c>
      <c r="E56" s="19">
        <f>0</f>
        <v>0</v>
      </c>
      <c r="F56" s="19">
        <v>0</v>
      </c>
      <c r="G56" s="19">
        <v>29.74137</v>
      </c>
      <c r="H56">
        <v>0</v>
      </c>
      <c r="I56" s="19">
        <v>2.1862737961708798</v>
      </c>
      <c r="J56" s="19">
        <v>789.86389999999994</v>
      </c>
      <c r="K56" s="17">
        <v>1</v>
      </c>
    </row>
    <row r="57" spans="1:11" x14ac:dyDescent="0.2">
      <c r="A57" s="18" t="s">
        <v>41</v>
      </c>
      <c r="B57" s="19">
        <v>1011.417963191319</v>
      </c>
      <c r="C57" s="19">
        <v>69.065420055865189</v>
      </c>
      <c r="D57" s="19">
        <v>0.34237560521218108</v>
      </c>
      <c r="E57" s="19">
        <f>AVERAGE($E$2:$E$7)</f>
        <v>12.5</v>
      </c>
      <c r="F57" s="19">
        <v>0.79763196919576385</v>
      </c>
      <c r="G57" s="19">
        <v>16.082850000000001</v>
      </c>
      <c r="H57">
        <v>0.1235793</v>
      </c>
      <c r="I57" s="19">
        <v>2.8186485386896498</v>
      </c>
      <c r="J57" s="19">
        <v>1018.33</v>
      </c>
      <c r="K57" s="17">
        <v>1</v>
      </c>
    </row>
    <row r="58" spans="1:11" x14ac:dyDescent="0.2">
      <c r="A58" s="18" t="s">
        <v>41</v>
      </c>
      <c r="B58" s="19">
        <v>1011.417963191319</v>
      </c>
      <c r="C58" s="19">
        <v>69.065420055865189</v>
      </c>
      <c r="D58" s="19">
        <v>0.34237560521218108</v>
      </c>
      <c r="E58" s="19">
        <f>25</f>
        <v>25</v>
      </c>
      <c r="F58" s="19">
        <v>1.5952639383915277</v>
      </c>
      <c r="G58" s="19">
        <v>3.3100540000000001</v>
      </c>
      <c r="H58">
        <v>4.378808E-2</v>
      </c>
      <c r="I58" s="19">
        <v>3.27440993983129</v>
      </c>
      <c r="J58" s="19">
        <v>1182.989</v>
      </c>
      <c r="K58" s="17">
        <v>1</v>
      </c>
    </row>
    <row r="59" spans="1:11" x14ac:dyDescent="0.2">
      <c r="A59" s="16" t="s">
        <v>42</v>
      </c>
      <c r="B59" s="17">
        <v>1012.394526323029</v>
      </c>
      <c r="C59" s="17">
        <v>35.022311450345882</v>
      </c>
      <c r="D59" s="17">
        <v>0.45069985122357942</v>
      </c>
      <c r="E59" s="17">
        <f>0</f>
        <v>0</v>
      </c>
      <c r="F59" s="17">
        <v>0</v>
      </c>
      <c r="G59" s="17">
        <v>30.019079999999999</v>
      </c>
      <c r="H59">
        <v>0</v>
      </c>
      <c r="I59" s="17">
        <v>2.1996659724937602</v>
      </c>
      <c r="J59" s="17">
        <v>794.70230000000004</v>
      </c>
      <c r="K59" s="17">
        <v>1</v>
      </c>
    </row>
    <row r="60" spans="1:11" x14ac:dyDescent="0.2">
      <c r="A60" s="18" t="s">
        <v>42</v>
      </c>
      <c r="B60" s="19">
        <v>1012.394526323029</v>
      </c>
      <c r="C60" s="19">
        <v>35.022311450345882</v>
      </c>
      <c r="D60" s="19">
        <v>0.45069985122357942</v>
      </c>
      <c r="E60" s="19">
        <f>AVERAGE($E$2:$E$7)</f>
        <v>12.5</v>
      </c>
      <c r="F60" s="19">
        <v>0.79840211368808822</v>
      </c>
      <c r="G60" s="19">
        <v>16.74897</v>
      </c>
      <c r="H60">
        <v>0.1286726</v>
      </c>
      <c r="I60" s="19">
        <v>2.8219221295686499</v>
      </c>
      <c r="J60" s="19">
        <v>1019.513</v>
      </c>
      <c r="K60" s="17">
        <v>1</v>
      </c>
    </row>
    <row r="61" spans="1:11" x14ac:dyDescent="0.2">
      <c r="A61" s="20" t="s">
        <v>42</v>
      </c>
      <c r="B61" s="21">
        <v>1012.394526323029</v>
      </c>
      <c r="C61" s="21">
        <v>35.022311450345882</v>
      </c>
      <c r="D61" s="21">
        <v>0.45069985122357942</v>
      </c>
      <c r="E61" s="21">
        <f>25</f>
        <v>25</v>
      </c>
      <c r="F61" s="21">
        <v>1.5968042273761764</v>
      </c>
      <c r="G61" s="21">
        <v>3.4678789999999999</v>
      </c>
      <c r="H61">
        <v>4.5932559999999997E-2</v>
      </c>
      <c r="I61" s="21">
        <v>3.2735298269023598</v>
      </c>
      <c r="J61" s="21">
        <v>1182.671</v>
      </c>
      <c r="K61" s="17">
        <v>1</v>
      </c>
    </row>
    <row r="62" spans="1:11" x14ac:dyDescent="0.2">
      <c r="A62" s="16" t="s">
        <v>43</v>
      </c>
      <c r="B62" s="17">
        <v>1005.2184436849381</v>
      </c>
      <c r="C62" s="17">
        <v>69.806292885397681</v>
      </c>
      <c r="D62" s="17">
        <v>0.35637902819846551</v>
      </c>
      <c r="E62" s="17">
        <f>0</f>
        <v>0</v>
      </c>
      <c r="F62" s="17">
        <v>0</v>
      </c>
      <c r="G62" s="17">
        <v>28.60426</v>
      </c>
      <c r="H62">
        <v>0</v>
      </c>
      <c r="I62" s="17">
        <v>2.2521815260007201</v>
      </c>
      <c r="J62" s="17">
        <v>813.67520000000002</v>
      </c>
      <c r="K62" s="17">
        <v>1</v>
      </c>
    </row>
    <row r="63" spans="1:11" x14ac:dyDescent="0.2">
      <c r="A63" s="18" t="s">
        <v>43</v>
      </c>
      <c r="B63" s="19">
        <v>1005.2184436849381</v>
      </c>
      <c r="C63" s="19">
        <v>69.806292885397681</v>
      </c>
      <c r="D63" s="19">
        <v>0.35637902819846551</v>
      </c>
      <c r="E63" s="19">
        <f>AVERAGE($E$2:$E$7)</f>
        <v>12.5</v>
      </c>
      <c r="F63" s="19">
        <v>0.79274285793622135</v>
      </c>
      <c r="G63" s="19">
        <v>13.96813</v>
      </c>
      <c r="H63">
        <v>0.1039125</v>
      </c>
      <c r="I63" s="19">
        <v>2.8935028044729401</v>
      </c>
      <c r="J63" s="19">
        <v>1045.374</v>
      </c>
      <c r="K63" s="17">
        <v>1</v>
      </c>
    </row>
    <row r="64" spans="1:11" x14ac:dyDescent="0.2">
      <c r="A64" s="18" t="s">
        <v>43</v>
      </c>
      <c r="B64" s="19">
        <v>1005.2184436849381</v>
      </c>
      <c r="C64" s="19">
        <v>69.806292885397696</v>
      </c>
      <c r="D64" s="19">
        <v>0.35637902819846601</v>
      </c>
      <c r="E64" s="19">
        <f>25</f>
        <v>25</v>
      </c>
      <c r="F64" s="19">
        <v>1.5854857158724427</v>
      </c>
      <c r="G64" s="19">
        <v>1.181548</v>
      </c>
      <c r="H64">
        <v>1.511674E-2</v>
      </c>
      <c r="I64" s="19">
        <v>3.36493440463483</v>
      </c>
      <c r="J64" s="19">
        <v>1215.694</v>
      </c>
      <c r="K64" s="17">
        <v>1</v>
      </c>
    </row>
    <row r="65" spans="1:11" x14ac:dyDescent="0.2">
      <c r="A65" s="16" t="s">
        <v>44</v>
      </c>
      <c r="B65" s="26">
        <v>707.35487999999998</v>
      </c>
      <c r="C65" s="27">
        <v>3.6000000000000002E-4</v>
      </c>
      <c r="D65" s="26">
        <f>1</f>
        <v>1</v>
      </c>
      <c r="E65" s="17">
        <f>0</f>
        <v>0</v>
      </c>
      <c r="F65" s="17">
        <v>0</v>
      </c>
      <c r="G65" s="17">
        <v>42.473739999999999</v>
      </c>
      <c r="H65">
        <v>0</v>
      </c>
      <c r="I65" s="17">
        <v>0.97110003023077296</v>
      </c>
      <c r="J65" s="17">
        <v>350.84210000000002</v>
      </c>
      <c r="K65" s="17">
        <v>1</v>
      </c>
    </row>
    <row r="66" spans="1:11" x14ac:dyDescent="0.2">
      <c r="A66" s="18" t="s">
        <v>44</v>
      </c>
      <c r="B66" s="25">
        <v>707.35487999999998</v>
      </c>
      <c r="C66" s="28">
        <v>3.6000000000000002E-4</v>
      </c>
      <c r="D66" s="25">
        <f>1</f>
        <v>1</v>
      </c>
      <c r="E66" s="19">
        <v>6.25</v>
      </c>
      <c r="F66" s="19">
        <v>0.27891973762972799</v>
      </c>
      <c r="G66" s="19">
        <v>39.683100000000003</v>
      </c>
      <c r="H66">
        <v>0.28113900000000003</v>
      </c>
      <c r="I66" s="19">
        <v>1.0690200000000001</v>
      </c>
      <c r="J66" s="19">
        <v>386.21800000000002</v>
      </c>
      <c r="K66" s="17">
        <v>1</v>
      </c>
    </row>
    <row r="67" spans="1:11" x14ac:dyDescent="0.2">
      <c r="A67" s="18" t="s">
        <v>44</v>
      </c>
      <c r="B67" s="25">
        <v>707.35487999999998</v>
      </c>
      <c r="C67" s="28">
        <v>3.6000000000000002E-4</v>
      </c>
      <c r="D67" s="25">
        <f>1</f>
        <v>1</v>
      </c>
      <c r="E67" s="19">
        <f>AVERAGE($E$2:$E$7)</f>
        <v>12.5</v>
      </c>
      <c r="F67" s="19">
        <v>0.55783947525945599</v>
      </c>
      <c r="G67" s="19">
        <v>36.979709999999997</v>
      </c>
      <c r="H67">
        <v>0.45905469999999998</v>
      </c>
      <c r="I67" s="19">
        <v>1.2201959701696901</v>
      </c>
      <c r="J67" s="19">
        <v>440.83629999999999</v>
      </c>
      <c r="K67" s="17">
        <v>1</v>
      </c>
    </row>
    <row r="68" spans="1:11" x14ac:dyDescent="0.2">
      <c r="A68" s="18" t="s">
        <v>44</v>
      </c>
      <c r="B68" s="25">
        <v>708.35487999999998</v>
      </c>
      <c r="C68" s="28">
        <v>3.6000000000000002E-4</v>
      </c>
      <c r="D68" s="25">
        <f>1</f>
        <v>1</v>
      </c>
      <c r="E68" s="19">
        <v>18.75</v>
      </c>
      <c r="F68" s="19">
        <v>0.83794215406418404</v>
      </c>
      <c r="G68" s="19">
        <v>33.146500000000003</v>
      </c>
      <c r="H68">
        <v>0.54096500000000003</v>
      </c>
      <c r="I68" s="19">
        <v>1.3921699999999999</v>
      </c>
      <c r="J68" s="19">
        <v>502.96600000000001</v>
      </c>
      <c r="K68" s="17">
        <v>1</v>
      </c>
    </row>
    <row r="69" spans="1:11" x14ac:dyDescent="0.2">
      <c r="A69" s="20" t="s">
        <v>44</v>
      </c>
      <c r="B69" s="29">
        <v>707.35487999999998</v>
      </c>
      <c r="C69" s="30">
        <v>3.6000000000000002E-4</v>
      </c>
      <c r="D69" s="29">
        <f>1</f>
        <v>1</v>
      </c>
      <c r="E69" s="21">
        <f>25</f>
        <v>25</v>
      </c>
      <c r="F69" s="21">
        <v>1.115678950518912</v>
      </c>
      <c r="G69" s="21">
        <v>27.044720000000002</v>
      </c>
      <c r="H69">
        <v>0.55146010000000001</v>
      </c>
      <c r="I69" s="21">
        <v>1.4856927356006699</v>
      </c>
      <c r="J69" s="21">
        <v>536.75580000000002</v>
      </c>
      <c r="K69" s="17">
        <v>1</v>
      </c>
    </row>
    <row r="70" spans="1:11" x14ac:dyDescent="0.2">
      <c r="A70" s="18" t="s">
        <v>45</v>
      </c>
      <c r="B70" s="25">
        <v>858.24444000000005</v>
      </c>
      <c r="C70" s="25">
        <v>1.0300000000000001E-3</v>
      </c>
      <c r="D70" s="25">
        <f>1</f>
        <v>1</v>
      </c>
      <c r="E70" s="19">
        <v>0</v>
      </c>
      <c r="F70" s="19">
        <v>0</v>
      </c>
      <c r="G70" s="19">
        <v>42.75394</v>
      </c>
      <c r="H70">
        <v>0</v>
      </c>
      <c r="I70" s="19">
        <v>1.1817223827163701</v>
      </c>
      <c r="J70" s="19">
        <v>426.93639999999999</v>
      </c>
      <c r="K70" s="17">
        <v>1</v>
      </c>
    </row>
    <row r="71" spans="1:11" x14ac:dyDescent="0.2">
      <c r="A71" s="18" t="s">
        <v>45</v>
      </c>
      <c r="B71" s="25">
        <v>858.24444000000005</v>
      </c>
      <c r="C71" s="25">
        <v>1.0300000000000001E-3</v>
      </c>
      <c r="D71" s="25">
        <f>1</f>
        <v>1</v>
      </c>
      <c r="E71" s="19">
        <v>6.25</v>
      </c>
      <c r="F71" s="19">
        <v>0.33841756209693902</v>
      </c>
      <c r="G71" s="19">
        <v>39.0032</v>
      </c>
      <c r="H71">
        <v>0.27177000000000001</v>
      </c>
      <c r="I71" s="19">
        <v>1.3187800000000001</v>
      </c>
      <c r="J71" s="19">
        <v>476.45499999999998</v>
      </c>
      <c r="K71" s="17">
        <v>1</v>
      </c>
    </row>
    <row r="72" spans="1:11" x14ac:dyDescent="0.2">
      <c r="A72" s="18" t="s">
        <v>45</v>
      </c>
      <c r="B72" s="25">
        <v>858.24444000000005</v>
      </c>
      <c r="C72" s="25">
        <v>1.0300000000000001E-3</v>
      </c>
      <c r="D72" s="25">
        <f>1</f>
        <v>1</v>
      </c>
      <c r="E72" s="19">
        <v>12.5</v>
      </c>
      <c r="F72" s="19">
        <v>0.67683512419387803</v>
      </c>
      <c r="G72" s="19">
        <v>36.611780000000003</v>
      </c>
      <c r="H72">
        <v>0.44091789999999997</v>
      </c>
      <c r="I72" s="19">
        <v>1.5260449738066</v>
      </c>
      <c r="J72" s="19">
        <v>551.33429999999998</v>
      </c>
      <c r="K72" s="17">
        <v>1</v>
      </c>
    </row>
    <row r="73" spans="1:11" x14ac:dyDescent="0.2">
      <c r="A73" s="18" t="s">
        <v>45</v>
      </c>
      <c r="B73" s="25">
        <v>858.24444000000005</v>
      </c>
      <c r="C73" s="25">
        <v>1.0300000000000001E-3</v>
      </c>
      <c r="D73" s="25">
        <f>1</f>
        <v>1</v>
      </c>
      <c r="E73" s="19">
        <v>18.75</v>
      </c>
      <c r="F73" s="19">
        <v>1.0152526862908171</v>
      </c>
      <c r="G73" s="19">
        <v>33.134</v>
      </c>
      <c r="H73">
        <v>0.52845900000000001</v>
      </c>
      <c r="I73" s="19">
        <v>1.7284600000000001</v>
      </c>
      <c r="J73" s="19">
        <v>624.46299999999997</v>
      </c>
      <c r="K73" s="17">
        <v>1</v>
      </c>
    </row>
    <row r="74" spans="1:11" x14ac:dyDescent="0.2">
      <c r="A74" s="20" t="s">
        <v>45</v>
      </c>
      <c r="B74" s="29">
        <v>858.24444000000005</v>
      </c>
      <c r="C74" s="29">
        <v>1.0300000000000001E-3</v>
      </c>
      <c r="D74" s="29">
        <f>1</f>
        <v>1</v>
      </c>
      <c r="E74" s="21">
        <v>25</v>
      </c>
      <c r="F74" s="21">
        <v>1.3536702483877561</v>
      </c>
      <c r="G74" s="21">
        <v>26.685120000000001</v>
      </c>
      <c r="H74">
        <v>0.53421540000000001</v>
      </c>
      <c r="I74" s="21">
        <v>1.8360601409881401</v>
      </c>
      <c r="J74" s="21">
        <v>663.33759999999995</v>
      </c>
      <c r="K74" s="17">
        <v>1</v>
      </c>
    </row>
    <row r="75" spans="1:11" x14ac:dyDescent="0.2">
      <c r="A75" s="18" t="s">
        <v>46</v>
      </c>
      <c r="B75" s="25">
        <v>799.45838000000003</v>
      </c>
      <c r="C75" s="25">
        <v>2E-3</v>
      </c>
      <c r="D75" s="25">
        <f>1</f>
        <v>1</v>
      </c>
      <c r="E75" s="19">
        <v>0</v>
      </c>
      <c r="F75" s="19">
        <v>0</v>
      </c>
      <c r="G75" s="19">
        <v>40.50441</v>
      </c>
      <c r="H75">
        <v>0</v>
      </c>
      <c r="I75" s="19">
        <v>1.1387797168803699</v>
      </c>
      <c r="J75" s="19">
        <v>411.42189999999999</v>
      </c>
      <c r="K75" s="17">
        <v>1</v>
      </c>
    </row>
    <row r="76" spans="1:11" x14ac:dyDescent="0.2">
      <c r="A76" s="18" t="s">
        <v>46</v>
      </c>
      <c r="B76" s="25">
        <v>799.45838000000003</v>
      </c>
      <c r="C76" s="25">
        <v>2E-3</v>
      </c>
      <c r="D76" s="25">
        <f>1</f>
        <v>1</v>
      </c>
      <c r="E76" s="19">
        <v>6.25</v>
      </c>
      <c r="F76" s="19">
        <v>0.31523741180026554</v>
      </c>
      <c r="G76" s="19">
        <v>38.429099999999998</v>
      </c>
      <c r="H76">
        <v>0.25474999999999998</v>
      </c>
      <c r="I76" s="19">
        <v>1.2912300000000001</v>
      </c>
      <c r="J76" s="19">
        <v>466.5</v>
      </c>
      <c r="K76" s="17">
        <v>1</v>
      </c>
    </row>
    <row r="77" spans="1:11" x14ac:dyDescent="0.2">
      <c r="A77" s="18" t="s">
        <v>46</v>
      </c>
      <c r="B77" s="25">
        <v>799.45838000000003</v>
      </c>
      <c r="C77" s="25">
        <v>2E-3</v>
      </c>
      <c r="D77" s="25">
        <f>1</f>
        <v>1</v>
      </c>
      <c r="E77" s="19">
        <v>12.5</v>
      </c>
      <c r="F77" s="19">
        <v>0.63047482360053109</v>
      </c>
      <c r="G77" s="19">
        <v>35.70908</v>
      </c>
      <c r="H77">
        <v>0.4145797</v>
      </c>
      <c r="I77" s="19">
        <v>1.4745507361105501</v>
      </c>
      <c r="J77" s="19">
        <v>532.73030000000006</v>
      </c>
      <c r="K77" s="17">
        <v>1</v>
      </c>
    </row>
    <row r="78" spans="1:11" x14ac:dyDescent="0.2">
      <c r="A78" s="18" t="s">
        <v>46</v>
      </c>
      <c r="B78" s="25">
        <v>799.45838000000003</v>
      </c>
      <c r="C78" s="25">
        <v>2E-3</v>
      </c>
      <c r="D78" s="25">
        <f>1</f>
        <v>1</v>
      </c>
      <c r="E78" s="19">
        <v>18.75</v>
      </c>
      <c r="F78" s="19">
        <v>0.94571223540079652</v>
      </c>
      <c r="G78" s="19">
        <v>32.251300000000001</v>
      </c>
      <c r="H78">
        <v>0.50140600000000002</v>
      </c>
      <c r="I78" s="19">
        <v>1.6517200000000001</v>
      </c>
      <c r="J78" s="19">
        <v>596.74</v>
      </c>
      <c r="K78" s="17">
        <v>1</v>
      </c>
    </row>
    <row r="79" spans="1:11" x14ac:dyDescent="0.2">
      <c r="A79" s="20" t="s">
        <v>46</v>
      </c>
      <c r="B79" s="29">
        <v>799.45838000000003</v>
      </c>
      <c r="C79" s="29">
        <v>2E-3</v>
      </c>
      <c r="D79" s="29">
        <f>1</f>
        <v>1</v>
      </c>
      <c r="E79" s="21">
        <v>25</v>
      </c>
      <c r="F79" s="21">
        <v>1.2609496472010622</v>
      </c>
      <c r="G79" s="21">
        <v>25.819559999999999</v>
      </c>
      <c r="H79">
        <v>0.50243570000000004</v>
      </c>
      <c r="I79" s="21">
        <v>1.7594927347990901</v>
      </c>
      <c r="J79" s="21">
        <v>635.67510000000004</v>
      </c>
      <c r="K79" s="17">
        <v>1</v>
      </c>
    </row>
    <row r="80" spans="1:11" x14ac:dyDescent="0.2">
      <c r="A80" s="18" t="s">
        <v>47</v>
      </c>
      <c r="B80" s="25">
        <v>906.45862</v>
      </c>
      <c r="C80" s="25">
        <v>3.4499999999999999E-3</v>
      </c>
      <c r="D80" s="25">
        <f>1</f>
        <v>1</v>
      </c>
      <c r="E80" s="19">
        <v>0</v>
      </c>
      <c r="F80" s="19">
        <v>0</v>
      </c>
      <c r="G80" s="19">
        <v>39.753349999999998</v>
      </c>
      <c r="H80">
        <v>0</v>
      </c>
      <c r="I80" s="19">
        <v>1.3057066171201399</v>
      </c>
      <c r="J80" s="19">
        <v>471.72980000000001</v>
      </c>
      <c r="K80" s="17">
        <v>1</v>
      </c>
    </row>
    <row r="81" spans="1:11" x14ac:dyDescent="0.2">
      <c r="A81" s="18" t="s">
        <v>47</v>
      </c>
      <c r="B81" s="25">
        <v>906.45862</v>
      </c>
      <c r="C81" s="25">
        <v>3.4499999999999999E-3</v>
      </c>
      <c r="D81" s="25">
        <f>1</f>
        <v>1</v>
      </c>
      <c r="E81" s="19">
        <v>6.25</v>
      </c>
      <c r="F81" s="19">
        <v>0.35742907501055948</v>
      </c>
      <c r="G81" s="19">
        <v>37.762099999999997</v>
      </c>
      <c r="H81">
        <v>0.24660699999999999</v>
      </c>
      <c r="I81" s="19">
        <v>1.4861500000000001</v>
      </c>
      <c r="J81" s="19">
        <v>536.91999999999996</v>
      </c>
      <c r="K81" s="17">
        <v>1</v>
      </c>
    </row>
    <row r="82" spans="1:11" x14ac:dyDescent="0.2">
      <c r="A82" s="18" t="s">
        <v>47</v>
      </c>
      <c r="B82" s="25">
        <v>906.45862</v>
      </c>
      <c r="C82" s="25">
        <v>3.4499999999999999E-3</v>
      </c>
      <c r="D82" s="25">
        <f>1</f>
        <v>1</v>
      </c>
      <c r="E82" s="19">
        <v>12.5</v>
      </c>
      <c r="F82" s="19">
        <v>0.71485815002111897</v>
      </c>
      <c r="G82" s="19">
        <v>35.16019</v>
      </c>
      <c r="H82">
        <v>0.39876489999999998</v>
      </c>
      <c r="I82" s="19">
        <v>1.7114940873642699</v>
      </c>
      <c r="J82" s="19">
        <v>618.33399999999995</v>
      </c>
      <c r="K82" s="17">
        <v>1</v>
      </c>
    </row>
    <row r="83" spans="1:11" x14ac:dyDescent="0.2">
      <c r="A83" s="18" t="s">
        <v>47</v>
      </c>
      <c r="B83" s="25">
        <v>906.45862</v>
      </c>
      <c r="C83" s="25">
        <v>3.4499999999999999E-3</v>
      </c>
      <c r="D83" s="25">
        <f>1</f>
        <v>1</v>
      </c>
      <c r="E83" s="19">
        <v>18.75</v>
      </c>
      <c r="F83" s="19">
        <v>1.0722872250316784</v>
      </c>
      <c r="G83" s="19">
        <v>31.5365</v>
      </c>
      <c r="H83">
        <v>0.47949399999999998</v>
      </c>
      <c r="I83" s="19">
        <v>1.9149700000000001</v>
      </c>
      <c r="J83" s="19">
        <v>691.846</v>
      </c>
      <c r="K83" s="17">
        <v>1</v>
      </c>
    </row>
    <row r="84" spans="1:11" x14ac:dyDescent="0.2">
      <c r="A84" s="20" t="s">
        <v>47</v>
      </c>
      <c r="B84" s="29">
        <v>906.45862</v>
      </c>
      <c r="C84" s="29">
        <v>3.4499999999999999E-3</v>
      </c>
      <c r="D84" s="29">
        <f>1</f>
        <v>1</v>
      </c>
      <c r="E84" s="21">
        <v>25</v>
      </c>
      <c r="F84" s="21">
        <v>1.4297163000422379</v>
      </c>
      <c r="G84" s="21">
        <v>25.100829999999998</v>
      </c>
      <c r="H84">
        <v>0.47920180000000001</v>
      </c>
      <c r="I84" s="21">
        <v>2.0334840055693499</v>
      </c>
      <c r="J84" s="21">
        <v>734.6635</v>
      </c>
      <c r="K84" s="17">
        <v>1</v>
      </c>
    </row>
    <row r="85" spans="1:11" x14ac:dyDescent="0.2">
      <c r="A85" s="18" t="s">
        <v>48</v>
      </c>
      <c r="B85" s="25">
        <v>840.94500000000005</v>
      </c>
      <c r="C85" s="25">
        <v>5.6699999999999997E-3</v>
      </c>
      <c r="D85" s="25">
        <f>1</f>
        <v>1</v>
      </c>
      <c r="E85" s="19">
        <v>0</v>
      </c>
      <c r="F85" s="19">
        <v>0</v>
      </c>
      <c r="G85" s="19">
        <v>39.248019999999997</v>
      </c>
      <c r="H85">
        <v>0</v>
      </c>
      <c r="I85" s="19">
        <v>1.26346691838867</v>
      </c>
      <c r="J85" s="19">
        <v>456.46929999999998</v>
      </c>
      <c r="K85" s="17">
        <v>1</v>
      </c>
    </row>
    <row r="86" spans="1:11" x14ac:dyDescent="0.2">
      <c r="A86" s="18" t="s">
        <v>48</v>
      </c>
      <c r="B86" s="25">
        <v>840.94500000000005</v>
      </c>
      <c r="C86" s="25">
        <v>5.6699999999999997E-3</v>
      </c>
      <c r="D86" s="25">
        <f>1</f>
        <v>1</v>
      </c>
      <c r="E86" s="19">
        <v>6.25</v>
      </c>
      <c r="F86" s="19">
        <v>0.331596155470125</v>
      </c>
      <c r="G86" s="19">
        <v>37.515900000000002</v>
      </c>
      <c r="H86">
        <v>0.231769</v>
      </c>
      <c r="I86" s="19">
        <v>1.4574400000000001</v>
      </c>
      <c r="J86" s="19">
        <v>526.548</v>
      </c>
      <c r="K86" s="17">
        <v>1</v>
      </c>
    </row>
    <row r="87" spans="1:11" x14ac:dyDescent="0.2">
      <c r="A87" s="18" t="s">
        <v>48</v>
      </c>
      <c r="B87" s="25">
        <v>840.94500000000005</v>
      </c>
      <c r="C87" s="25">
        <v>5.6699999999999997E-3</v>
      </c>
      <c r="D87" s="25">
        <f>1</f>
        <v>1</v>
      </c>
      <c r="E87" s="19">
        <v>12.5</v>
      </c>
      <c r="F87" s="19">
        <v>0.66319231094025</v>
      </c>
      <c r="G87" s="19">
        <v>34.790289999999999</v>
      </c>
      <c r="H87">
        <v>0.38061309999999998</v>
      </c>
      <c r="I87" s="19">
        <v>1.6460202595086999</v>
      </c>
      <c r="J87" s="19">
        <v>594.67939999999999</v>
      </c>
      <c r="K87" s="17">
        <v>1</v>
      </c>
    </row>
    <row r="88" spans="1:11" x14ac:dyDescent="0.2">
      <c r="A88" s="18" t="s">
        <v>48</v>
      </c>
      <c r="B88" s="25">
        <v>840.94500000000005</v>
      </c>
      <c r="C88" s="25">
        <v>5.6699999999999997E-3</v>
      </c>
      <c r="D88" s="25">
        <f>1</f>
        <v>1</v>
      </c>
      <c r="E88" s="19">
        <v>18.75</v>
      </c>
      <c r="F88" s="19">
        <v>0.99478846641037511</v>
      </c>
      <c r="G88" s="19">
        <v>30.5761</v>
      </c>
      <c r="H88">
        <v>0.4506</v>
      </c>
      <c r="I88" s="19">
        <v>1.8329200000000001</v>
      </c>
      <c r="J88" s="19">
        <v>662.20299999999997</v>
      </c>
      <c r="K88" s="17">
        <v>1</v>
      </c>
    </row>
    <row r="89" spans="1:11" x14ac:dyDescent="0.2">
      <c r="A89" s="20" t="s">
        <v>48</v>
      </c>
      <c r="B89" s="29">
        <v>840.94500000000005</v>
      </c>
      <c r="C89" s="29">
        <v>5.6699999999999997E-3</v>
      </c>
      <c r="D89" s="29">
        <f>1</f>
        <v>1</v>
      </c>
      <c r="E89" s="21">
        <v>25</v>
      </c>
      <c r="F89" s="21">
        <v>1.3263846218805</v>
      </c>
      <c r="G89" s="21">
        <v>23.201630000000002</v>
      </c>
      <c r="H89">
        <v>0.43053770000000002</v>
      </c>
      <c r="I89" s="21">
        <v>1.9408779015775199</v>
      </c>
      <c r="J89" s="21">
        <v>701.20650000000001</v>
      </c>
      <c r="K89" s="17">
        <v>1</v>
      </c>
    </row>
    <row r="90" spans="1:11" x14ac:dyDescent="0.2">
      <c r="A90" s="18" t="s">
        <v>49</v>
      </c>
      <c r="B90" s="25">
        <v>862.72947999999997</v>
      </c>
      <c r="C90" s="25">
        <v>1.0370000000000001E-2</v>
      </c>
      <c r="D90" s="25">
        <f>1</f>
        <v>1</v>
      </c>
      <c r="E90" s="19">
        <v>0</v>
      </c>
      <c r="F90" s="19">
        <v>0</v>
      </c>
      <c r="G90" s="19">
        <v>38.554859999999998</v>
      </c>
      <c r="H90">
        <v>0</v>
      </c>
      <c r="I90" s="19">
        <v>1.3429544003332601</v>
      </c>
      <c r="J90" s="19">
        <v>485.18680000000001</v>
      </c>
      <c r="K90" s="17">
        <v>1</v>
      </c>
    </row>
    <row r="91" spans="1:11" x14ac:dyDescent="0.2">
      <c r="A91" s="18" t="s">
        <v>49</v>
      </c>
      <c r="B91" s="25">
        <v>862.72947999999997</v>
      </c>
      <c r="C91" s="25">
        <v>1.0370000000000001E-2</v>
      </c>
      <c r="D91" s="25">
        <f>1</f>
        <v>1</v>
      </c>
      <c r="E91" s="19">
        <v>6.25</v>
      </c>
      <c r="F91" s="19">
        <v>0.34018607492611302</v>
      </c>
      <c r="G91" s="19">
        <v>36.836199999999998</v>
      </c>
      <c r="H91">
        <v>0.219833</v>
      </c>
      <c r="I91" s="19">
        <v>1.54782</v>
      </c>
      <c r="J91" s="19">
        <v>559.20000000000005</v>
      </c>
      <c r="K91" s="17">
        <v>1</v>
      </c>
    </row>
    <row r="92" spans="1:11" x14ac:dyDescent="0.2">
      <c r="A92" s="18" t="s">
        <v>49</v>
      </c>
      <c r="B92" s="25">
        <v>862.72947999999997</v>
      </c>
      <c r="C92" s="25">
        <v>1.0370000000000001E-2</v>
      </c>
      <c r="D92" s="25">
        <f>1</f>
        <v>1</v>
      </c>
      <c r="E92" s="19">
        <v>12.5</v>
      </c>
      <c r="F92" s="19">
        <v>0.68037214985222605</v>
      </c>
      <c r="G92" s="19">
        <v>33.900709999999997</v>
      </c>
      <c r="H92">
        <v>0.3567959</v>
      </c>
      <c r="I92" s="19">
        <v>1.7553215175352901</v>
      </c>
      <c r="J92" s="19">
        <v>634.16809999999998</v>
      </c>
      <c r="K92" s="17">
        <v>1</v>
      </c>
    </row>
    <row r="93" spans="1:11" x14ac:dyDescent="0.2">
      <c r="A93" s="18" t="s">
        <v>49</v>
      </c>
      <c r="B93" s="25">
        <v>862.72947999999997</v>
      </c>
      <c r="C93" s="25">
        <v>1.0370000000000001E-2</v>
      </c>
      <c r="D93" s="25">
        <f>1</f>
        <v>1</v>
      </c>
      <c r="E93" s="19">
        <v>18.75</v>
      </c>
      <c r="F93" s="19">
        <v>1.0205582247783389</v>
      </c>
      <c r="G93" s="19">
        <v>29.055399999999999</v>
      </c>
      <c r="H93">
        <v>0.415794</v>
      </c>
      <c r="I93" s="19">
        <v>1.9364600000000001</v>
      </c>
      <c r="J93" s="19">
        <v>699.60900000000004</v>
      </c>
      <c r="K93" s="17">
        <v>1</v>
      </c>
    </row>
    <row r="94" spans="1:11" x14ac:dyDescent="0.2">
      <c r="A94" s="20" t="s">
        <v>49</v>
      </c>
      <c r="B94" s="29">
        <v>862.72947999999997</v>
      </c>
      <c r="C94" s="29">
        <v>1.0370000000000001E-2</v>
      </c>
      <c r="D94" s="29">
        <f>1</f>
        <v>1</v>
      </c>
      <c r="E94" s="21">
        <v>25</v>
      </c>
      <c r="F94" s="21">
        <v>1.3607442997044521</v>
      </c>
      <c r="G94" s="21">
        <v>21.681460000000001</v>
      </c>
      <c r="H94">
        <v>0.39113730000000002</v>
      </c>
      <c r="I94" s="21">
        <v>2.0481282607084998</v>
      </c>
      <c r="J94" s="21">
        <v>739.95420000000001</v>
      </c>
      <c r="K94" s="17">
        <v>1</v>
      </c>
    </row>
    <row r="95" spans="1:11" x14ac:dyDescent="0.2">
      <c r="A95" s="18" t="s">
        <v>50</v>
      </c>
      <c r="B95" s="25">
        <v>885.15467999999998</v>
      </c>
      <c r="C95" s="25">
        <v>2.572E-2</v>
      </c>
      <c r="D95" s="25">
        <f>1</f>
        <v>1</v>
      </c>
      <c r="E95" s="19">
        <v>0</v>
      </c>
      <c r="F95" s="19">
        <v>0</v>
      </c>
      <c r="G95" s="19">
        <v>37.939410000000002</v>
      </c>
      <c r="H95">
        <v>0</v>
      </c>
      <c r="I95" s="19">
        <v>1.52216677065411</v>
      </c>
      <c r="J95" s="19">
        <v>549.93320000000006</v>
      </c>
      <c r="K95" s="17">
        <v>1</v>
      </c>
    </row>
    <row r="96" spans="1:11" x14ac:dyDescent="0.2">
      <c r="A96" s="18" t="s">
        <v>50</v>
      </c>
      <c r="B96" s="25">
        <v>885.15467999999998</v>
      </c>
      <c r="C96" s="25">
        <v>2.572E-2</v>
      </c>
      <c r="D96" s="19">
        <f>1</f>
        <v>1</v>
      </c>
      <c r="E96" s="19">
        <v>6.25</v>
      </c>
      <c r="F96" s="19">
        <v>0.34902863907198295</v>
      </c>
      <c r="G96" s="19">
        <v>35.3506</v>
      </c>
      <c r="H96">
        <v>0.19717799999999999</v>
      </c>
      <c r="I96" s="19">
        <v>1.6991099999999999</v>
      </c>
      <c r="J96" s="19">
        <v>613.86099999999999</v>
      </c>
      <c r="K96" s="17">
        <v>1</v>
      </c>
    </row>
    <row r="97" spans="1:11" x14ac:dyDescent="0.2">
      <c r="A97" s="18" t="s">
        <v>50</v>
      </c>
      <c r="B97" s="25">
        <v>885.15467999999998</v>
      </c>
      <c r="C97" s="25">
        <v>2.572E-2</v>
      </c>
      <c r="D97" s="19">
        <f>1</f>
        <v>1</v>
      </c>
      <c r="E97" s="19">
        <v>12.5</v>
      </c>
      <c r="F97" s="19">
        <v>0.6980572781439659</v>
      </c>
      <c r="G97" s="19">
        <v>32.20964</v>
      </c>
      <c r="H97">
        <v>0.31741510000000001</v>
      </c>
      <c r="I97" s="19">
        <v>1.9234045439203</v>
      </c>
      <c r="J97" s="19">
        <v>694.89369999999997</v>
      </c>
      <c r="K97" s="17">
        <v>1</v>
      </c>
    </row>
    <row r="98" spans="1:11" x14ac:dyDescent="0.2">
      <c r="A98" s="18" t="s">
        <v>50</v>
      </c>
      <c r="B98" s="25">
        <v>885.15467999999998</v>
      </c>
      <c r="C98" s="25">
        <v>2.572E-2</v>
      </c>
      <c r="D98" s="19">
        <f>1</f>
        <v>1</v>
      </c>
      <c r="E98" s="19">
        <v>18.75</v>
      </c>
      <c r="F98" s="19">
        <v>1.047085917215949</v>
      </c>
      <c r="G98" s="19">
        <v>26.723099999999999</v>
      </c>
      <c r="H98">
        <v>0.35906399999999999</v>
      </c>
      <c r="I98" s="19">
        <v>2.1160100000000002</v>
      </c>
      <c r="J98" s="19">
        <v>764.48</v>
      </c>
      <c r="K98" s="17">
        <v>1</v>
      </c>
    </row>
    <row r="99" spans="1:11" x14ac:dyDescent="0.2">
      <c r="A99" s="20" t="s">
        <v>50</v>
      </c>
      <c r="B99" s="29">
        <v>885.15467999999998</v>
      </c>
      <c r="C99" s="29">
        <v>2.572E-2</v>
      </c>
      <c r="D99" s="29">
        <f>1</f>
        <v>1</v>
      </c>
      <c r="E99" s="21">
        <v>25</v>
      </c>
      <c r="F99" s="21">
        <v>1.3961145562879318</v>
      </c>
      <c r="G99" s="21">
        <v>18.188849999999999</v>
      </c>
      <c r="H99">
        <v>0.30707190000000001</v>
      </c>
      <c r="I99" s="21">
        <v>2.2454709889378299</v>
      </c>
      <c r="J99" s="21">
        <v>811.25080000000003</v>
      </c>
      <c r="K99" s="17">
        <v>1</v>
      </c>
    </row>
    <row r="100" spans="1:11" x14ac:dyDescent="0.2">
      <c r="A100" s="18" t="s">
        <v>51</v>
      </c>
      <c r="B100" s="19">
        <v>901.01250000000005</v>
      </c>
      <c r="C100" s="19">
        <v>4.3150000000000001E-2</v>
      </c>
      <c r="D100" s="25">
        <f>1</f>
        <v>1</v>
      </c>
      <c r="E100" s="19">
        <v>0</v>
      </c>
      <c r="F100" s="19">
        <v>0</v>
      </c>
      <c r="G100" s="19">
        <v>36.87961</v>
      </c>
      <c r="H100">
        <v>0</v>
      </c>
      <c r="I100" s="19">
        <v>1.6585220105573599</v>
      </c>
      <c r="J100" s="19">
        <v>5.9919609999999999</v>
      </c>
      <c r="K100" s="17">
        <v>1</v>
      </c>
    </row>
    <row r="101" spans="1:11" x14ac:dyDescent="0.2">
      <c r="A101" s="18" t="s">
        <v>51</v>
      </c>
      <c r="B101" s="19">
        <v>901.01250000000005</v>
      </c>
      <c r="C101" s="19">
        <v>4.3150000000000001E-2</v>
      </c>
      <c r="D101" s="25">
        <f>1</f>
        <v>1</v>
      </c>
      <c r="E101" s="19">
        <v>6.25</v>
      </c>
      <c r="F101" s="19">
        <v>0.35528159514656249</v>
      </c>
      <c r="G101" s="19">
        <v>33.762599999999999</v>
      </c>
      <c r="H101">
        <v>0.17673</v>
      </c>
      <c r="I101" s="19">
        <v>1.8429800000000001</v>
      </c>
      <c r="J101" s="19">
        <v>665.83699999999999</v>
      </c>
      <c r="K101" s="17">
        <v>1</v>
      </c>
    </row>
    <row r="102" spans="1:11" x14ac:dyDescent="0.2">
      <c r="A102" s="18" t="s">
        <v>51</v>
      </c>
      <c r="B102" s="19">
        <v>901.01250000000005</v>
      </c>
      <c r="C102" s="19">
        <v>4.3150000000000001E-2</v>
      </c>
      <c r="D102" s="25">
        <f>1</f>
        <v>1</v>
      </c>
      <c r="E102" s="19">
        <v>12.5</v>
      </c>
      <c r="F102" s="19">
        <v>0.71056319029312498</v>
      </c>
      <c r="G102" s="19">
        <v>30.0063</v>
      </c>
      <c r="H102">
        <v>0.27871430000000003</v>
      </c>
      <c r="I102" s="19">
        <v>2.0771946883630599</v>
      </c>
      <c r="J102" s="19">
        <v>750.45550000000003</v>
      </c>
      <c r="K102" s="17">
        <v>1</v>
      </c>
    </row>
    <row r="103" spans="1:11" x14ac:dyDescent="0.2">
      <c r="A103" s="18" t="s">
        <v>51</v>
      </c>
      <c r="B103" s="19">
        <v>901.01250000000005</v>
      </c>
      <c r="C103" s="19">
        <v>4.3150000000000001E-2</v>
      </c>
      <c r="D103" s="25">
        <f>1</f>
        <v>1</v>
      </c>
      <c r="E103" s="19">
        <v>18.75</v>
      </c>
      <c r="F103" s="19">
        <v>1.0658447854396875</v>
      </c>
      <c r="G103" s="19">
        <v>23.7973</v>
      </c>
      <c r="H103">
        <v>0.30094599999999999</v>
      </c>
      <c r="I103" s="19">
        <v>2.2885200000000001</v>
      </c>
      <c r="J103" s="19">
        <v>826.80399999999997</v>
      </c>
      <c r="K103" s="17">
        <v>1</v>
      </c>
    </row>
    <row r="104" spans="1:11" x14ac:dyDescent="0.2">
      <c r="A104" s="20" t="s">
        <v>51</v>
      </c>
      <c r="B104" s="21">
        <v>901.01250000000005</v>
      </c>
      <c r="C104" s="21">
        <v>4.3150000000000001E-2</v>
      </c>
      <c r="D104" s="29">
        <f>1</f>
        <v>1</v>
      </c>
      <c r="E104" s="21">
        <v>25</v>
      </c>
      <c r="F104" s="21">
        <v>1.42112638058625</v>
      </c>
      <c r="G104" s="21">
        <v>15.04072</v>
      </c>
      <c r="H104">
        <v>0.23977499999999999</v>
      </c>
      <c r="I104" s="21">
        <v>2.42057593590898</v>
      </c>
      <c r="J104" s="21">
        <v>874.51329999999996</v>
      </c>
      <c r="K104" s="17">
        <v>1</v>
      </c>
    </row>
    <row r="105" spans="1:11" x14ac:dyDescent="0.2">
      <c r="A105" s="18" t="s">
        <v>52</v>
      </c>
      <c r="B105" s="19">
        <v>949.54704000000004</v>
      </c>
      <c r="C105" s="19">
        <v>0.18853999999999999</v>
      </c>
      <c r="D105" s="25">
        <f>1</f>
        <v>1</v>
      </c>
      <c r="E105" s="19">
        <v>0</v>
      </c>
      <c r="F105" s="19">
        <v>0</v>
      </c>
      <c r="G105" s="19">
        <v>32.459319999999998</v>
      </c>
      <c r="H105">
        <v>0</v>
      </c>
      <c r="I105" s="19">
        <v>2.5595836316543399</v>
      </c>
      <c r="J105" s="19">
        <v>924.73450000000003</v>
      </c>
      <c r="K105" s="17">
        <v>1</v>
      </c>
    </row>
    <row r="106" spans="1:11" x14ac:dyDescent="0.2">
      <c r="A106" s="18" t="s">
        <v>52</v>
      </c>
      <c r="B106" s="19">
        <v>949.54704000000004</v>
      </c>
      <c r="C106" s="19">
        <v>0.18853999999999999</v>
      </c>
      <c r="D106" s="25">
        <f>1</f>
        <v>1</v>
      </c>
      <c r="E106" s="19">
        <v>6.25</v>
      </c>
      <c r="F106" s="19">
        <v>0.37441943040512399</v>
      </c>
      <c r="G106" s="19">
        <v>26.622399999999999</v>
      </c>
      <c r="H106">
        <v>9.6326899999999993E-2</v>
      </c>
      <c r="I106" s="19">
        <v>2.8098299999999998</v>
      </c>
      <c r="J106" s="19">
        <v>1015.14</v>
      </c>
      <c r="K106" s="17">
        <v>1</v>
      </c>
    </row>
    <row r="107" spans="1:11" x14ac:dyDescent="0.2">
      <c r="A107" s="18" t="s">
        <v>52</v>
      </c>
      <c r="B107" s="19">
        <v>949.54704000000004</v>
      </c>
      <c r="C107" s="19">
        <v>0.18853999999999999</v>
      </c>
      <c r="D107" s="25">
        <f>1</f>
        <v>1</v>
      </c>
      <c r="E107" s="19">
        <v>12.5</v>
      </c>
      <c r="F107" s="19">
        <v>0.74883886081024797</v>
      </c>
      <c r="G107" s="19">
        <v>19.646570000000001</v>
      </c>
      <c r="H107">
        <v>0.1281872</v>
      </c>
      <c r="I107" s="19">
        <v>3.11639071262376</v>
      </c>
      <c r="J107" s="19">
        <v>1125.8989999999999</v>
      </c>
      <c r="K107" s="17">
        <v>1</v>
      </c>
    </row>
    <row r="108" spans="1:11" x14ac:dyDescent="0.2">
      <c r="A108" s="18" t="s">
        <v>52</v>
      </c>
      <c r="B108" s="19">
        <v>949.54704000000004</v>
      </c>
      <c r="C108" s="19">
        <v>0.18853999999999999</v>
      </c>
      <c r="D108" s="25">
        <f>1</f>
        <v>1</v>
      </c>
      <c r="E108" s="19">
        <v>18.75</v>
      </c>
      <c r="F108" s="19">
        <v>1.1232582912153721</v>
      </c>
      <c r="G108" s="19">
        <v>10.498699999999999</v>
      </c>
      <c r="H108">
        <v>9.4118800000000002E-2</v>
      </c>
      <c r="I108" s="19">
        <v>3.40219</v>
      </c>
      <c r="J108" s="19">
        <v>1229.1500000000001</v>
      </c>
      <c r="K108" s="17">
        <v>1</v>
      </c>
    </row>
    <row r="109" spans="1:11" x14ac:dyDescent="0.2">
      <c r="A109" s="20" t="s">
        <v>52</v>
      </c>
      <c r="B109" s="21">
        <v>949.54704000000004</v>
      </c>
      <c r="C109" s="21">
        <v>0.18853999999999999</v>
      </c>
      <c r="D109" s="29">
        <f>1</f>
        <v>1</v>
      </c>
      <c r="E109" s="21">
        <v>25</v>
      </c>
      <c r="F109" s="21">
        <v>1.4976777216204959</v>
      </c>
      <c r="G109" s="21">
        <v>1.504683</v>
      </c>
      <c r="H109">
        <v>1.691082E-2</v>
      </c>
      <c r="I109" s="21">
        <v>3.61842992867764</v>
      </c>
      <c r="J109" s="21">
        <v>1307.278</v>
      </c>
      <c r="K109" s="17">
        <v>1</v>
      </c>
    </row>
    <row r="110" spans="1:11" x14ac:dyDescent="0.2">
      <c r="A110" s="18" t="s">
        <v>53</v>
      </c>
      <c r="B110" s="19">
        <v>1014.152258761198</v>
      </c>
      <c r="C110" s="19">
        <v>6.8077161393176064</v>
      </c>
      <c r="D110" s="19">
        <v>0.43046549540444617</v>
      </c>
      <c r="E110" s="19">
        <v>0</v>
      </c>
      <c r="F110" s="19">
        <v>0</v>
      </c>
      <c r="G110" s="31">
        <v>2064.8420000000001</v>
      </c>
      <c r="H110">
        <v>0</v>
      </c>
      <c r="I110" s="19">
        <v>1.68353709370511</v>
      </c>
      <c r="J110" s="19">
        <v>608.23360000000002</v>
      </c>
      <c r="K110" s="17">
        <v>1</v>
      </c>
    </row>
    <row r="111" spans="1:11" x14ac:dyDescent="0.2">
      <c r="A111" s="18" t="s">
        <v>53</v>
      </c>
      <c r="B111" s="19">
        <v>1014.152258761198</v>
      </c>
      <c r="C111" s="19">
        <v>6.8077161393176064</v>
      </c>
      <c r="D111" s="19">
        <v>0.43046549540444617</v>
      </c>
      <c r="E111" s="19">
        <v>12.5</v>
      </c>
      <c r="F111" s="19">
        <v>0.79978830973858372</v>
      </c>
      <c r="G111" s="19">
        <v>30.597000000000001</v>
      </c>
      <c r="H111">
        <v>0.30735269999999998</v>
      </c>
      <c r="I111" s="19">
        <v>2.1619129196369702</v>
      </c>
      <c r="J111" s="19">
        <v>781.06269999999995</v>
      </c>
      <c r="K111" s="17">
        <v>1</v>
      </c>
    </row>
    <row r="112" spans="1:11" x14ac:dyDescent="0.2">
      <c r="A112" s="20" t="s">
        <v>53</v>
      </c>
      <c r="B112" s="21">
        <v>1014.152258761198</v>
      </c>
      <c r="C112" s="21">
        <v>6.8077161393176064</v>
      </c>
      <c r="D112" s="21">
        <v>0.43046549540444617</v>
      </c>
      <c r="E112" s="21">
        <v>25</v>
      </c>
      <c r="F112" s="21">
        <v>1.5995766194771674</v>
      </c>
      <c r="G112" s="21">
        <v>17.580290000000002</v>
      </c>
      <c r="H112">
        <v>0.28608509999999998</v>
      </c>
      <c r="I112" s="21">
        <v>2.6690516548965002</v>
      </c>
      <c r="J112" s="21">
        <v>964.28340000000003</v>
      </c>
      <c r="K112" s="17">
        <v>1</v>
      </c>
    </row>
    <row r="113" spans="1:11" x14ac:dyDescent="0.2">
      <c r="A113" s="18" t="s">
        <v>54</v>
      </c>
      <c r="B113" s="19">
        <v>1017.862934095259</v>
      </c>
      <c r="C113" s="19">
        <v>10.82322051457839</v>
      </c>
      <c r="D113" s="19">
        <v>0.3345396183918381</v>
      </c>
      <c r="E113" s="19">
        <v>0</v>
      </c>
      <c r="F113" s="19">
        <v>0</v>
      </c>
      <c r="G113" s="31">
        <v>681.74419999999998</v>
      </c>
      <c r="H113">
        <v>0</v>
      </c>
      <c r="I113" s="19">
        <v>1.6685320019447401</v>
      </c>
      <c r="J113" s="19">
        <v>6.0281250000000002</v>
      </c>
      <c r="K113" s="17">
        <v>1</v>
      </c>
    </row>
    <row r="114" spans="1:11" x14ac:dyDescent="0.2">
      <c r="A114" s="18" t="s">
        <v>54</v>
      </c>
      <c r="B114" s="19">
        <v>1017.862934095259</v>
      </c>
      <c r="C114" s="19">
        <v>10.82322051457839</v>
      </c>
      <c r="D114" s="19">
        <v>0.3345396183918381</v>
      </c>
      <c r="E114" s="19">
        <v>12.5</v>
      </c>
      <c r="F114" s="19">
        <v>0.80271465016506216</v>
      </c>
      <c r="G114" s="19">
        <v>32.680520000000001</v>
      </c>
      <c r="H114">
        <v>0.34449639999999998</v>
      </c>
      <c r="I114" s="19">
        <v>2.0676964920113701</v>
      </c>
      <c r="J114" s="19">
        <v>747.02390000000003</v>
      </c>
      <c r="K114" s="17">
        <v>1</v>
      </c>
    </row>
    <row r="115" spans="1:11" x14ac:dyDescent="0.2">
      <c r="A115" s="18" t="s">
        <v>54</v>
      </c>
      <c r="B115" s="19">
        <v>1017.862934095259</v>
      </c>
      <c r="C115" s="19">
        <v>10.82322051457839</v>
      </c>
      <c r="D115" s="19">
        <v>0.3345396183918381</v>
      </c>
      <c r="E115" s="19">
        <v>18.75</v>
      </c>
      <c r="F115" s="19">
        <v>1.2040719752475932</v>
      </c>
      <c r="G115" s="19">
        <v>27.991700000000002</v>
      </c>
      <c r="H115">
        <v>0.406553</v>
      </c>
      <c r="I115" s="19">
        <v>2.2510500000000002</v>
      </c>
      <c r="J115" s="19">
        <v>813.26599999999996</v>
      </c>
      <c r="K115" s="17">
        <v>1</v>
      </c>
    </row>
    <row r="116" spans="1:11" x14ac:dyDescent="0.2">
      <c r="A116" s="20" t="s">
        <v>54</v>
      </c>
      <c r="B116" s="21">
        <v>1017.862934095259</v>
      </c>
      <c r="C116" s="21">
        <v>10.82322051457839</v>
      </c>
      <c r="D116" s="21">
        <v>0.3345396183918381</v>
      </c>
      <c r="E116" s="21">
        <v>25</v>
      </c>
      <c r="F116" s="21">
        <v>1.6054293003301243</v>
      </c>
      <c r="G116" s="21">
        <v>15.982620000000001</v>
      </c>
      <c r="H116">
        <v>0.24981110000000001</v>
      </c>
      <c r="I116" s="21">
        <v>2.7890020273586802</v>
      </c>
      <c r="J116" s="21">
        <v>1007.619</v>
      </c>
      <c r="K116" s="17">
        <v>1</v>
      </c>
    </row>
    <row r="117" spans="1:11" x14ac:dyDescent="0.2">
      <c r="A117" s="18" t="s">
        <v>55</v>
      </c>
      <c r="B117" s="19">
        <v>1006.227080903219</v>
      </c>
      <c r="C117" s="19">
        <v>1.2617178003994509</v>
      </c>
      <c r="D117" s="19">
        <v>0.4406473675836946</v>
      </c>
      <c r="E117" s="19">
        <v>0</v>
      </c>
      <c r="F117" s="19">
        <v>0</v>
      </c>
      <c r="G117" s="31">
        <v>2805.9720000000002</v>
      </c>
      <c r="H117">
        <v>0</v>
      </c>
      <c r="I117" s="19">
        <v>1.51468780041025</v>
      </c>
      <c r="J117" s="19">
        <v>547.23119999999994</v>
      </c>
      <c r="K117" s="17">
        <v>1</v>
      </c>
    </row>
    <row r="118" spans="1:11" x14ac:dyDescent="0.2">
      <c r="A118" s="18" t="s">
        <v>55</v>
      </c>
      <c r="B118" s="19">
        <v>1006.227080903219</v>
      </c>
      <c r="C118" s="19">
        <v>1.2617178003994509</v>
      </c>
      <c r="D118" s="19">
        <v>0.4406473675836946</v>
      </c>
      <c r="E118" s="19">
        <v>6.25</v>
      </c>
      <c r="F118" s="19">
        <v>0.39676914846682465</v>
      </c>
      <c r="G118" s="19">
        <v>37.027700000000003</v>
      </c>
      <c r="H118">
        <v>0.24096999999999999</v>
      </c>
      <c r="I118" s="19">
        <v>1.65</v>
      </c>
      <c r="J118" s="19">
        <v>598.096</v>
      </c>
      <c r="K118" s="17">
        <v>1</v>
      </c>
    </row>
    <row r="119" spans="1:11" x14ac:dyDescent="0.2">
      <c r="A119" s="18" t="s">
        <v>55</v>
      </c>
      <c r="B119" s="19">
        <v>1006.227080903219</v>
      </c>
      <c r="C119" s="19">
        <v>1.2617178003994509</v>
      </c>
      <c r="D119" s="19">
        <v>0.4406473675836946</v>
      </c>
      <c r="E119" s="19">
        <v>12.5</v>
      </c>
      <c r="F119" s="19">
        <v>0.7935382969336493</v>
      </c>
      <c r="G119" s="19">
        <v>35.213720000000002</v>
      </c>
      <c r="H119">
        <v>0.40002090000000001</v>
      </c>
      <c r="I119" s="19">
        <v>1.8967862520776</v>
      </c>
      <c r="J119" s="19">
        <v>685.27689999999996</v>
      </c>
      <c r="K119" s="17">
        <v>1</v>
      </c>
    </row>
    <row r="120" spans="1:11" x14ac:dyDescent="0.2">
      <c r="A120" s="18" t="s">
        <v>55</v>
      </c>
      <c r="B120" s="19">
        <v>1006.227080903219</v>
      </c>
      <c r="C120" s="19">
        <v>1.2617178003994509</v>
      </c>
      <c r="D120" s="19">
        <v>0.4406473675836946</v>
      </c>
      <c r="E120" s="19">
        <v>18.75</v>
      </c>
      <c r="F120" s="19">
        <v>1.1903074454004738</v>
      </c>
      <c r="G120" s="19">
        <v>41.442</v>
      </c>
      <c r="H120">
        <v>0.47917759999999998</v>
      </c>
      <c r="I120" s="19">
        <v>2.12</v>
      </c>
      <c r="J120" s="19">
        <v>766.20100000000002</v>
      </c>
      <c r="K120" s="17">
        <v>1</v>
      </c>
    </row>
    <row r="121" spans="1:11" x14ac:dyDescent="0.2">
      <c r="A121" s="20" t="s">
        <v>55</v>
      </c>
      <c r="B121" s="21">
        <v>1006.227080903219</v>
      </c>
      <c r="C121" s="21">
        <v>1.2617178003994509</v>
      </c>
      <c r="D121" s="21">
        <v>0.4406473675836946</v>
      </c>
      <c r="E121" s="21">
        <v>25</v>
      </c>
      <c r="F121" s="21">
        <v>1.5870765938672986</v>
      </c>
      <c r="G121" s="21">
        <v>15.47809</v>
      </c>
      <c r="H121">
        <v>0.33935290000000001</v>
      </c>
      <c r="I121" s="21">
        <v>1.96555416211932</v>
      </c>
      <c r="J121" s="21">
        <v>710.12159999999994</v>
      </c>
      <c r="K121" s="17">
        <v>1</v>
      </c>
    </row>
    <row r="122" spans="1:11" x14ac:dyDescent="0.2">
      <c r="A122" s="18" t="s">
        <v>56</v>
      </c>
      <c r="B122" s="19">
        <v>1003.081453610291</v>
      </c>
      <c r="C122" s="19">
        <v>2.1396994423845168</v>
      </c>
      <c r="D122" s="19">
        <v>0.30569847403530997</v>
      </c>
      <c r="E122" s="19">
        <v>0</v>
      </c>
      <c r="F122" s="19">
        <v>0</v>
      </c>
      <c r="G122" s="31">
        <v>1480.684</v>
      </c>
      <c r="H122">
        <v>0</v>
      </c>
      <c r="I122" s="19">
        <v>1.6789375299694</v>
      </c>
      <c r="J122" s="19">
        <v>606.57180000000005</v>
      </c>
      <c r="K122" s="17">
        <v>1</v>
      </c>
    </row>
    <row r="123" spans="1:11" x14ac:dyDescent="0.2">
      <c r="A123" s="18" t="s">
        <v>56</v>
      </c>
      <c r="B123" s="19">
        <v>1003.081453610291</v>
      </c>
      <c r="C123" s="19">
        <v>2.1396994423845168</v>
      </c>
      <c r="D123" s="19">
        <v>0.30569847403530997</v>
      </c>
      <c r="E123" s="19">
        <v>12.5</v>
      </c>
      <c r="F123" s="19">
        <v>0.79105756890297707</v>
      </c>
      <c r="G123" s="19">
        <v>35.966410000000003</v>
      </c>
      <c r="H123">
        <v>4.2589990000000002</v>
      </c>
      <c r="I123" s="19">
        <v>1.81392340003107</v>
      </c>
      <c r="J123" s="19">
        <v>655.34</v>
      </c>
      <c r="K123" s="17">
        <v>1</v>
      </c>
    </row>
    <row r="124" spans="1:11" x14ac:dyDescent="0.2">
      <c r="A124" s="18" t="s">
        <v>56</v>
      </c>
      <c r="B124" s="19">
        <v>1003.081453610291</v>
      </c>
      <c r="C124" s="19">
        <v>2.1396994423845168</v>
      </c>
      <c r="D124" s="19">
        <v>0.30569847403530997</v>
      </c>
      <c r="E124" s="19">
        <v>18.75</v>
      </c>
      <c r="F124" s="19">
        <v>1.1865863533544656</v>
      </c>
      <c r="G124" s="19">
        <v>32.223799999999997</v>
      </c>
      <c r="H124">
        <v>0.50520399999999999</v>
      </c>
      <c r="I124" s="19">
        <v>2.0550899999999999</v>
      </c>
      <c r="J124" s="19">
        <v>742.46799999999996</v>
      </c>
      <c r="K124" s="17">
        <v>1</v>
      </c>
    </row>
    <row r="125" spans="1:11" x14ac:dyDescent="0.2">
      <c r="A125" s="20" t="s">
        <v>56</v>
      </c>
      <c r="B125" s="21">
        <v>1003.081453610291</v>
      </c>
      <c r="C125" s="21">
        <v>2.1396994423845168</v>
      </c>
      <c r="D125" s="21">
        <v>0.30569847403530997</v>
      </c>
      <c r="E125" s="21">
        <v>25</v>
      </c>
      <c r="F125" s="21">
        <v>1.5821151378059541</v>
      </c>
      <c r="G125" s="21">
        <v>26.81522</v>
      </c>
      <c r="H125">
        <v>0.52003710000000003</v>
      </c>
      <c r="I125" s="21">
        <v>2.2151668164009699</v>
      </c>
      <c r="J125" s="21">
        <v>800.30250000000001</v>
      </c>
      <c r="K125" s="17">
        <v>1</v>
      </c>
    </row>
    <row r="126" spans="1:11" x14ac:dyDescent="0.2">
      <c r="A126" s="18" t="s">
        <v>57</v>
      </c>
      <c r="B126" s="19">
        <v>1014.660341182607</v>
      </c>
      <c r="C126" s="19">
        <v>15.27440998347512</v>
      </c>
      <c r="D126" s="19">
        <v>0.2017034547516855</v>
      </c>
      <c r="E126" s="19">
        <v>0</v>
      </c>
      <c r="F126" s="19">
        <v>0</v>
      </c>
      <c r="G126" s="31">
        <v>114.072</v>
      </c>
      <c r="H126">
        <v>0</v>
      </c>
      <c r="I126" s="19">
        <v>1.4895746892263599</v>
      </c>
      <c r="J126" s="19">
        <v>5.3815819999999999</v>
      </c>
      <c r="K126" s="17">
        <v>1</v>
      </c>
    </row>
    <row r="127" spans="1:11" x14ac:dyDescent="0.2">
      <c r="A127" s="18" t="s">
        <v>57</v>
      </c>
      <c r="B127" s="19">
        <v>1014.660341182607</v>
      </c>
      <c r="C127" s="19">
        <v>15.27440998347512</v>
      </c>
      <c r="D127" s="19">
        <v>0.2017034547516855</v>
      </c>
      <c r="E127" s="19">
        <v>12.5</v>
      </c>
      <c r="F127" s="19">
        <v>0.80018899748296934</v>
      </c>
      <c r="G127" s="19">
        <v>34.110230000000001</v>
      </c>
      <c r="H127">
        <v>0.37658150000000001</v>
      </c>
      <c r="I127" s="19">
        <v>1.9680658401781099</v>
      </c>
      <c r="J127" s="19">
        <v>711.029</v>
      </c>
      <c r="K127" s="17">
        <v>1</v>
      </c>
    </row>
    <row r="128" spans="1:11" x14ac:dyDescent="0.2">
      <c r="A128" s="18" t="s">
        <v>57</v>
      </c>
      <c r="B128" s="19">
        <v>1014.660341182607</v>
      </c>
      <c r="C128" s="19">
        <v>15.27440998347512</v>
      </c>
      <c r="D128" s="19">
        <v>0.2017034547516855</v>
      </c>
      <c r="E128" s="19">
        <v>18.75</v>
      </c>
      <c r="F128" s="19">
        <v>1.200283496224454</v>
      </c>
      <c r="G128" s="19">
        <v>30.116</v>
      </c>
      <c r="H128">
        <v>0.47210000000000002</v>
      </c>
      <c r="I128" s="19">
        <v>2.0699999999999998</v>
      </c>
      <c r="J128" s="19">
        <v>750.9</v>
      </c>
      <c r="K128" s="17">
        <v>1</v>
      </c>
    </row>
    <row r="129" spans="1:11" x14ac:dyDescent="0.2">
      <c r="A129" s="20" t="s">
        <v>57</v>
      </c>
      <c r="B129" s="21">
        <v>1014.660341182607</v>
      </c>
      <c r="C129" s="21">
        <v>15.27440998347512</v>
      </c>
      <c r="D129" s="21">
        <v>0.2017034547516855</v>
      </c>
      <c r="E129" s="21">
        <v>25</v>
      </c>
      <c r="F129" s="21">
        <v>1.6003779949659387</v>
      </c>
      <c r="G129" s="21">
        <v>24.371929999999999</v>
      </c>
      <c r="H129">
        <v>0.47567910000000002</v>
      </c>
      <c r="I129" s="21">
        <v>2.2264849062533898</v>
      </c>
      <c r="J129" s="21">
        <v>804.39149999999995</v>
      </c>
      <c r="K129" s="17">
        <v>1</v>
      </c>
    </row>
    <row r="130" spans="1:11" x14ac:dyDescent="0.2">
      <c r="A130" s="18" t="s">
        <v>58</v>
      </c>
      <c r="B130" s="19">
        <v>1008.485298920102</v>
      </c>
      <c r="C130" s="19">
        <v>9.9110148632339889</v>
      </c>
      <c r="D130" s="19">
        <v>0.44011177105192972</v>
      </c>
      <c r="E130" s="19">
        <v>0</v>
      </c>
      <c r="F130" s="19">
        <v>0</v>
      </c>
      <c r="G130" s="31">
        <v>10307.82</v>
      </c>
      <c r="H130">
        <v>0</v>
      </c>
      <c r="I130" s="19">
        <v>1.84800697202843</v>
      </c>
      <c r="J130" s="19">
        <v>667.65380000000005</v>
      </c>
      <c r="K130" s="17">
        <v>1</v>
      </c>
    </row>
    <row r="131" spans="1:11" x14ac:dyDescent="0.2">
      <c r="A131" s="18" t="s">
        <v>58</v>
      </c>
      <c r="B131" s="19">
        <v>1008.485298920102</v>
      </c>
      <c r="C131" s="19">
        <v>9.9110148632339889</v>
      </c>
      <c r="D131" s="19">
        <v>0.44011177105192972</v>
      </c>
      <c r="E131" s="19">
        <v>6.25</v>
      </c>
      <c r="F131" s="19">
        <v>0.39765959482492386</v>
      </c>
      <c r="G131" s="19">
        <v>31.545999999999999</v>
      </c>
      <c r="H131">
        <v>0.15987499999999999</v>
      </c>
      <c r="I131" s="19">
        <v>2.1</v>
      </c>
      <c r="J131" s="19">
        <v>769.7</v>
      </c>
      <c r="K131" s="17">
        <v>1</v>
      </c>
    </row>
    <row r="132" spans="1:11" x14ac:dyDescent="0.2">
      <c r="A132" s="18" t="s">
        <v>58</v>
      </c>
      <c r="B132" s="19">
        <v>1008.485298920102</v>
      </c>
      <c r="C132" s="19">
        <v>9.9110148632339889</v>
      </c>
      <c r="D132" s="19">
        <v>0.44011177105192972</v>
      </c>
      <c r="E132" s="19">
        <v>12.5</v>
      </c>
      <c r="F132" s="19">
        <v>0.79531918964984771</v>
      </c>
      <c r="G132" s="19">
        <v>27.02881</v>
      </c>
      <c r="H132">
        <v>0.24697359999999999</v>
      </c>
      <c r="I132" s="19">
        <v>2.3634101701095598</v>
      </c>
      <c r="J132" s="19">
        <v>853.86030000000005</v>
      </c>
      <c r="K132" s="17">
        <v>1</v>
      </c>
    </row>
    <row r="133" spans="1:11" x14ac:dyDescent="0.2">
      <c r="A133" s="18" t="s">
        <v>58</v>
      </c>
      <c r="B133" s="19">
        <v>1008.485298920102</v>
      </c>
      <c r="C133" s="19">
        <v>9.9110148632339889</v>
      </c>
      <c r="D133" s="19">
        <v>0.44011177105192972</v>
      </c>
      <c r="E133" s="19">
        <v>18.75</v>
      </c>
      <c r="F133" s="19">
        <v>1.1929787844747717</v>
      </c>
      <c r="G133" s="19">
        <v>21.4114</v>
      </c>
      <c r="H133">
        <v>0.26800200000000002</v>
      </c>
      <c r="I133" s="19">
        <v>2.5</v>
      </c>
      <c r="J133" s="19">
        <v>935</v>
      </c>
      <c r="K133" s="17">
        <v>1</v>
      </c>
    </row>
    <row r="134" spans="1:11" x14ac:dyDescent="0.2">
      <c r="A134" s="20" t="s">
        <v>58</v>
      </c>
      <c r="B134" s="21">
        <v>1008.485298920102</v>
      </c>
      <c r="C134" s="21">
        <v>9.9110148632339889</v>
      </c>
      <c r="D134" s="21">
        <v>0.44011177105192972</v>
      </c>
      <c r="E134" s="21">
        <v>25</v>
      </c>
      <c r="F134" s="21">
        <v>1.5906383792996954</v>
      </c>
      <c r="G134" s="21">
        <v>13.24952</v>
      </c>
      <c r="H134">
        <v>0.20780979999999999</v>
      </c>
      <c r="I134" s="21">
        <v>2.7537656739564298</v>
      </c>
      <c r="J134" s="21">
        <v>994.88919999999996</v>
      </c>
      <c r="K134" s="17">
        <v>1</v>
      </c>
    </row>
    <row r="135" spans="1:11" x14ac:dyDescent="0.2">
      <c r="A135" s="18" t="s">
        <v>59</v>
      </c>
      <c r="B135" s="19">
        <v>1002.141348928307</v>
      </c>
      <c r="C135" s="19">
        <v>0.61590488025277801</v>
      </c>
      <c r="D135" s="19">
        <v>0.57227549399620492</v>
      </c>
      <c r="E135" s="19">
        <v>0</v>
      </c>
      <c r="F135" s="19">
        <v>0</v>
      </c>
      <c r="G135" s="31">
        <v>25676.74</v>
      </c>
      <c r="H135">
        <v>0</v>
      </c>
      <c r="I135" s="19">
        <v>1.7827247384531899</v>
      </c>
      <c r="J135" s="19">
        <v>644.0684</v>
      </c>
      <c r="K135" s="17">
        <v>1</v>
      </c>
    </row>
    <row r="136" spans="1:11" x14ac:dyDescent="0.2">
      <c r="A136" s="18" t="s">
        <v>59</v>
      </c>
      <c r="B136" s="19">
        <v>1002.141348928307</v>
      </c>
      <c r="C136" s="19">
        <v>0.61590488025277801</v>
      </c>
      <c r="D136" s="19">
        <v>0.57227549399620492</v>
      </c>
      <c r="E136" s="19">
        <v>6.25</v>
      </c>
      <c r="F136" s="19">
        <v>0.39515808827244547</v>
      </c>
      <c r="G136" s="19">
        <v>37.253700000000002</v>
      </c>
      <c r="H136">
        <v>0.234929</v>
      </c>
      <c r="I136" s="19">
        <v>1.7</v>
      </c>
      <c r="J136" s="19">
        <v>614</v>
      </c>
      <c r="K136" s="17">
        <v>1</v>
      </c>
    </row>
    <row r="137" spans="1:11" x14ac:dyDescent="0.2">
      <c r="A137" s="18" t="s">
        <v>59</v>
      </c>
      <c r="B137" s="19">
        <v>1002.141348928307</v>
      </c>
      <c r="C137" s="19">
        <v>0.61590488025277801</v>
      </c>
      <c r="D137" s="19">
        <v>0.57227549399620492</v>
      </c>
      <c r="E137" s="19">
        <v>12.5</v>
      </c>
      <c r="F137" s="19">
        <v>0.79031617654489095</v>
      </c>
      <c r="G137" s="19">
        <v>34.039909999999999</v>
      </c>
      <c r="H137">
        <v>0.374197</v>
      </c>
      <c r="I137" s="19">
        <v>1.9521370928441399</v>
      </c>
      <c r="J137" s="19">
        <v>705.27419999999995</v>
      </c>
      <c r="K137" s="17">
        <v>1</v>
      </c>
    </row>
    <row r="138" spans="1:11" x14ac:dyDescent="0.2">
      <c r="A138" s="18" t="s">
        <v>59</v>
      </c>
      <c r="B138" s="19">
        <v>1002.141348928307</v>
      </c>
      <c r="C138" s="19">
        <v>0.61590488025277801</v>
      </c>
      <c r="D138" s="19">
        <v>0.57227549399620492</v>
      </c>
      <c r="E138" s="19">
        <v>18.75</v>
      </c>
      <c r="F138" s="19">
        <v>1.1854742648173366</v>
      </c>
      <c r="G138" s="19">
        <v>29.804400000000001</v>
      </c>
      <c r="H138">
        <v>0.44751200000000002</v>
      </c>
      <c r="I138" s="19">
        <v>2.1</v>
      </c>
      <c r="J138" s="19">
        <v>774</v>
      </c>
      <c r="K138" s="17">
        <v>1</v>
      </c>
    </row>
    <row r="139" spans="1:11" x14ac:dyDescent="0.2">
      <c r="A139" s="20" t="s">
        <v>59</v>
      </c>
      <c r="B139" s="21">
        <v>1002.141348928307</v>
      </c>
      <c r="C139" s="21">
        <v>0.61590488025277801</v>
      </c>
      <c r="D139" s="21">
        <v>0.57227549399620492</v>
      </c>
      <c r="E139" s="21">
        <v>25</v>
      </c>
      <c r="F139" s="21">
        <v>1.5806323530897819</v>
      </c>
      <c r="G139" s="21">
        <v>23.216470000000001</v>
      </c>
      <c r="H139">
        <v>0.43285020000000002</v>
      </c>
      <c r="I139" s="21">
        <v>2.3020290461058499</v>
      </c>
      <c r="J139" s="21">
        <v>831.68430000000001</v>
      </c>
      <c r="K139" s="17">
        <v>1</v>
      </c>
    </row>
    <row r="140" spans="1:11" x14ac:dyDescent="0.2">
      <c r="A140" s="18" t="s">
        <v>60</v>
      </c>
      <c r="B140" s="19">
        <v>1019.053269256084</v>
      </c>
      <c r="C140" s="19">
        <v>38.611731345047588</v>
      </c>
      <c r="D140" s="19">
        <v>0.3693264653471704</v>
      </c>
      <c r="E140" s="19">
        <v>0</v>
      </c>
      <c r="F140" s="19">
        <v>0</v>
      </c>
      <c r="G140" s="19">
        <v>31.381720000000001</v>
      </c>
      <c r="H140">
        <v>0</v>
      </c>
      <c r="I140" s="19">
        <v>2.1910031624224899</v>
      </c>
      <c r="J140" s="19">
        <v>791.57249999999999</v>
      </c>
      <c r="K140" s="17">
        <v>1</v>
      </c>
    </row>
    <row r="141" spans="1:11" x14ac:dyDescent="0.2">
      <c r="A141" s="18" t="s">
        <v>60</v>
      </c>
      <c r="B141" s="19">
        <v>1019.053269256084</v>
      </c>
      <c r="C141" s="19">
        <v>38.611731345047588</v>
      </c>
      <c r="D141" s="19">
        <v>0.3693264653471704</v>
      </c>
      <c r="E141" s="19">
        <v>12.5</v>
      </c>
      <c r="F141" s="19">
        <v>0.80365338114758889</v>
      </c>
      <c r="G141" s="19">
        <v>19.238399999999999</v>
      </c>
      <c r="H141">
        <v>0.15076139999999999</v>
      </c>
      <c r="I141" s="19">
        <v>2.7846392771731399</v>
      </c>
      <c r="J141" s="19">
        <v>-1006.043</v>
      </c>
      <c r="K141" s="17">
        <v>1</v>
      </c>
    </row>
    <row r="142" spans="1:11" x14ac:dyDescent="0.2">
      <c r="A142" s="20" t="s">
        <v>60</v>
      </c>
      <c r="B142" s="21">
        <v>1019.053269256084</v>
      </c>
      <c r="C142" s="21">
        <v>38.611731345047588</v>
      </c>
      <c r="D142" s="21">
        <v>0.3693264653471704</v>
      </c>
      <c r="E142" s="21">
        <v>25</v>
      </c>
      <c r="F142" s="21">
        <v>1.6073067622951778</v>
      </c>
      <c r="G142" s="21">
        <v>4.9421799999999996</v>
      </c>
      <c r="H142">
        <v>6.6954139999999995E-2</v>
      </c>
      <c r="I142" s="21">
        <v>3.2215225656490101</v>
      </c>
      <c r="J142" s="21">
        <v>1163.8820000000001</v>
      </c>
      <c r="K142" s="17">
        <v>1</v>
      </c>
    </row>
    <row r="143" spans="1:11" x14ac:dyDescent="0.2">
      <c r="A143" s="18" t="s">
        <v>61</v>
      </c>
      <c r="B143" s="19">
        <v>1014.780719322432</v>
      </c>
      <c r="C143" s="19">
        <v>8.0441477261988794</v>
      </c>
      <c r="D143" s="19">
        <v>0.5456551776535512</v>
      </c>
      <c r="E143" s="19">
        <v>0</v>
      </c>
      <c r="F143" s="19">
        <v>0</v>
      </c>
      <c r="G143" s="19">
        <v>35.553019999999997</v>
      </c>
      <c r="H143">
        <v>0</v>
      </c>
      <c r="I143" s="19">
        <v>1.93069698703878</v>
      </c>
      <c r="J143" s="19">
        <v>697.52829999999994</v>
      </c>
      <c r="K143" s="17">
        <v>1</v>
      </c>
    </row>
    <row r="144" spans="1:11" x14ac:dyDescent="0.2">
      <c r="A144" s="18" t="s">
        <v>61</v>
      </c>
      <c r="B144" s="19">
        <v>1014.780719322432</v>
      </c>
      <c r="C144" s="19">
        <v>8.0441477261988794</v>
      </c>
      <c r="D144" s="19">
        <v>0.5456551776535512</v>
      </c>
      <c r="E144" s="19">
        <v>12.5</v>
      </c>
      <c r="F144" s="19">
        <v>0.80028393098841522</v>
      </c>
      <c r="G144" s="19">
        <v>26.39771</v>
      </c>
      <c r="H144">
        <v>0.23548740000000001</v>
      </c>
      <c r="I144" s="19">
        <v>2.4359261425796501</v>
      </c>
      <c r="J144" s="19">
        <v>880.05909999999994</v>
      </c>
      <c r="K144" s="17">
        <v>1</v>
      </c>
    </row>
    <row r="145" spans="1:11" x14ac:dyDescent="0.2">
      <c r="A145" s="20" t="s">
        <v>61</v>
      </c>
      <c r="B145" s="21">
        <v>1014.780719322432</v>
      </c>
      <c r="C145" s="21">
        <v>8.0441477261988794</v>
      </c>
      <c r="D145" s="21">
        <v>0.5456551776535512</v>
      </c>
      <c r="E145" s="21">
        <v>25</v>
      </c>
      <c r="F145" s="21">
        <v>1.6005678619768304</v>
      </c>
      <c r="G145" s="21">
        <v>12.7395</v>
      </c>
      <c r="H145">
        <v>0.19662940000000001</v>
      </c>
      <c r="I145" s="21">
        <v>2.8157847426256599</v>
      </c>
      <c r="J145" s="21">
        <v>1017.296</v>
      </c>
      <c r="K145" s="17">
        <v>1</v>
      </c>
    </row>
    <row r="146" spans="1:11" x14ac:dyDescent="0.2">
      <c r="A146" s="18" t="s">
        <v>62</v>
      </c>
      <c r="B146" s="19">
        <v>1016.564308887603</v>
      </c>
      <c r="C146" s="19">
        <v>40.3355557978172</v>
      </c>
      <c r="D146" s="19">
        <v>0.40139213891517411</v>
      </c>
      <c r="E146" s="19">
        <v>0</v>
      </c>
      <c r="F146" s="19">
        <v>0</v>
      </c>
      <c r="G146" s="19">
        <v>29.37454</v>
      </c>
      <c r="H146">
        <v>0</v>
      </c>
      <c r="I146" s="19">
        <v>2.3028232935712998</v>
      </c>
      <c r="J146" s="19">
        <v>831.97130000000004</v>
      </c>
      <c r="K146" s="17">
        <v>1</v>
      </c>
    </row>
    <row r="147" spans="1:11" x14ac:dyDescent="0.2">
      <c r="A147" s="18" t="s">
        <v>62</v>
      </c>
      <c r="B147" s="19">
        <v>1016.564308887603</v>
      </c>
      <c r="C147" s="19">
        <v>40.3355557978172</v>
      </c>
      <c r="D147" s="19">
        <v>0.40139213891517411</v>
      </c>
      <c r="E147" s="19">
        <v>12.5</v>
      </c>
      <c r="F147" s="19">
        <v>0.80169051867904273</v>
      </c>
      <c r="G147" s="19">
        <v>15.32724</v>
      </c>
      <c r="H147">
        <v>0.11370280000000001</v>
      </c>
      <c r="I147" s="19">
        <v>2.9344091829006298</v>
      </c>
      <c r="J147" s="19">
        <v>1060.153</v>
      </c>
      <c r="K147" s="17">
        <v>1</v>
      </c>
    </row>
    <row r="148" spans="1:11" x14ac:dyDescent="0.2">
      <c r="A148" s="20" t="s">
        <v>62</v>
      </c>
      <c r="B148" s="21">
        <v>1016.564308887603</v>
      </c>
      <c r="C148" s="21">
        <v>40.3355557978172</v>
      </c>
      <c r="D148" s="21">
        <v>0.40139213891517411</v>
      </c>
      <c r="E148" s="21">
        <v>25</v>
      </c>
      <c r="F148" s="21">
        <v>1.6033810373580855</v>
      </c>
      <c r="G148" s="21">
        <v>1.11602</v>
      </c>
      <c r="H148">
        <v>1.4272399999999999E-2</v>
      </c>
      <c r="I148" s="21">
        <v>3.40434190343223</v>
      </c>
      <c r="J148" s="21">
        <v>1229.931</v>
      </c>
      <c r="K148" s="17">
        <v>1</v>
      </c>
    </row>
    <row r="149" spans="1:11" x14ac:dyDescent="0.2">
      <c r="A149" s="18" t="s">
        <v>63</v>
      </c>
      <c r="B149" s="19">
        <v>1016.660200468942</v>
      </c>
      <c r="C149" s="19">
        <v>12.161415518190321</v>
      </c>
      <c r="D149" s="19">
        <v>0.47819844730900829</v>
      </c>
      <c r="E149" s="19">
        <v>0</v>
      </c>
      <c r="F149" s="19">
        <v>0</v>
      </c>
      <c r="G149" s="19">
        <v>35.290779999999998</v>
      </c>
      <c r="H149">
        <v>0</v>
      </c>
      <c r="I149" s="19">
        <v>1.9525058581611701</v>
      </c>
      <c r="J149" s="19">
        <v>705.40750000000003</v>
      </c>
      <c r="K149" s="17">
        <v>1</v>
      </c>
    </row>
    <row r="150" spans="1:11" x14ac:dyDescent="0.2">
      <c r="A150" s="18" t="s">
        <v>63</v>
      </c>
      <c r="B150" s="19">
        <v>1016.660200468942</v>
      </c>
      <c r="C150" s="19">
        <v>12.161415518190321</v>
      </c>
      <c r="D150" s="19">
        <v>0.47819844730900829</v>
      </c>
      <c r="E150" s="19">
        <v>12.5</v>
      </c>
      <c r="F150" s="19">
        <v>0.80176614141231051</v>
      </c>
      <c r="G150" s="19">
        <v>2.6332360000000001</v>
      </c>
      <c r="H150">
        <v>0.2317449</v>
      </c>
      <c r="I150" s="19">
        <v>2.4737091187845901</v>
      </c>
      <c r="J150" s="19">
        <v>893.70939999999996</v>
      </c>
      <c r="K150" s="17">
        <v>1</v>
      </c>
    </row>
    <row r="151" spans="1:11" x14ac:dyDescent="0.2">
      <c r="A151" s="20" t="s">
        <v>63</v>
      </c>
      <c r="B151" s="21">
        <v>1016.660200468942</v>
      </c>
      <c r="C151" s="21">
        <v>12.161415518190321</v>
      </c>
      <c r="D151" s="21">
        <v>0.47819844730900829</v>
      </c>
      <c r="E151" s="21">
        <v>25</v>
      </c>
      <c r="F151" s="21">
        <v>1.603532282824621</v>
      </c>
      <c r="G151" s="21">
        <v>12.426439999999999</v>
      </c>
      <c r="H151">
        <v>0.19058510000000001</v>
      </c>
      <c r="I151" s="21">
        <v>2.8389435939980499</v>
      </c>
      <c r="J151" s="21">
        <v>1025.662</v>
      </c>
      <c r="K151" s="17">
        <v>1</v>
      </c>
    </row>
    <row r="152" spans="1:11" x14ac:dyDescent="0.2">
      <c r="A152" s="1" t="s">
        <v>11</v>
      </c>
      <c r="B152" s="2">
        <v>1017.8630000000001</v>
      </c>
      <c r="C152" s="2">
        <v>3</v>
      </c>
      <c r="D152" s="2">
        <v>0.20200000000000001</v>
      </c>
      <c r="E152" s="2">
        <v>0</v>
      </c>
      <c r="F152" s="3">
        <f>B152*0.000063090196*E152</f>
        <v>0</v>
      </c>
      <c r="G152" s="2">
        <v>127866</v>
      </c>
      <c r="H152" s="2">
        <v>0</v>
      </c>
      <c r="I152" s="2">
        <v>1</v>
      </c>
      <c r="J152" s="2">
        <v>1</v>
      </c>
      <c r="K152" s="4">
        <v>1</v>
      </c>
    </row>
    <row r="153" spans="1:11" x14ac:dyDescent="0.2">
      <c r="A153" s="5" t="s">
        <v>11</v>
      </c>
      <c r="B153">
        <v>1017.8630000000001</v>
      </c>
      <c r="C153">
        <v>3</v>
      </c>
      <c r="D153">
        <v>0.20200000000000001</v>
      </c>
      <c r="E153">
        <v>6.25</v>
      </c>
      <c r="F153" s="6">
        <f t="shared" ref="F153:F193" si="0">B153*0.000063090196*E153</f>
        <v>0.40135735106967502</v>
      </c>
      <c r="G153">
        <v>32.2057</v>
      </c>
      <c r="H153">
        <v>0.21587300000000001</v>
      </c>
      <c r="I153">
        <v>1</v>
      </c>
      <c r="J153">
        <v>1</v>
      </c>
      <c r="K153" s="7">
        <v>1</v>
      </c>
    </row>
    <row r="154" spans="1:11" x14ac:dyDescent="0.2">
      <c r="A154" s="5" t="s">
        <v>11</v>
      </c>
      <c r="B154">
        <v>1017.8630000000001</v>
      </c>
      <c r="C154">
        <v>3</v>
      </c>
      <c r="D154">
        <v>0.20200000000000001</v>
      </c>
      <c r="E154">
        <v>12.5</v>
      </c>
      <c r="F154" s="6">
        <f t="shared" si="0"/>
        <v>0.80271470213935003</v>
      </c>
      <c r="G154">
        <v>36.508499999999998</v>
      </c>
      <c r="H154">
        <v>0.43775399999999998</v>
      </c>
      <c r="I154">
        <v>1</v>
      </c>
      <c r="J154">
        <v>1</v>
      </c>
      <c r="K154" s="7">
        <v>1</v>
      </c>
    </row>
    <row r="155" spans="1:11" x14ac:dyDescent="0.2">
      <c r="A155" s="5" t="s">
        <v>11</v>
      </c>
      <c r="B155">
        <v>1017.8630000000001</v>
      </c>
      <c r="C155">
        <v>3</v>
      </c>
      <c r="D155">
        <v>0.20200000000000001</v>
      </c>
      <c r="E155">
        <v>18.75</v>
      </c>
      <c r="F155" s="6">
        <f t="shared" si="0"/>
        <v>1.204072053209025</v>
      </c>
      <c r="G155">
        <v>33.389899999999997</v>
      </c>
      <c r="H155">
        <v>0.52543600000000001</v>
      </c>
      <c r="I155">
        <v>1</v>
      </c>
      <c r="J155">
        <v>1</v>
      </c>
      <c r="K155" s="7">
        <v>1</v>
      </c>
    </row>
    <row r="156" spans="1:11" x14ac:dyDescent="0.2">
      <c r="A156" s="8" t="s">
        <v>11</v>
      </c>
      <c r="B156" s="9">
        <v>1017.8630000000001</v>
      </c>
      <c r="C156" s="9">
        <v>3</v>
      </c>
      <c r="D156" s="9">
        <v>0.20200000000000001</v>
      </c>
      <c r="E156" s="9">
        <v>25</v>
      </c>
      <c r="F156" s="10">
        <f t="shared" si="0"/>
        <v>1.6054294042787001</v>
      </c>
      <c r="G156" s="9">
        <v>21.541599999999999</v>
      </c>
      <c r="H156" s="9">
        <v>0.45830500000000002</v>
      </c>
      <c r="I156" s="9">
        <v>1</v>
      </c>
      <c r="J156" s="9">
        <v>1</v>
      </c>
      <c r="K156" s="11">
        <v>1</v>
      </c>
    </row>
    <row r="157" spans="1:11" x14ac:dyDescent="0.2">
      <c r="A157" s="5" t="s">
        <v>12</v>
      </c>
      <c r="B157">
        <v>911.79684899999995</v>
      </c>
      <c r="C157">
        <v>3.4529999999999998E-2</v>
      </c>
      <c r="D157">
        <v>1</v>
      </c>
      <c r="E157">
        <v>0</v>
      </c>
      <c r="F157" s="6">
        <f t="shared" si="0"/>
        <v>0</v>
      </c>
      <c r="G157">
        <v>37.323</v>
      </c>
      <c r="H157">
        <v>0</v>
      </c>
      <c r="I157">
        <v>1</v>
      </c>
      <c r="J157">
        <v>1</v>
      </c>
      <c r="K157" s="7">
        <v>1</v>
      </c>
    </row>
    <row r="158" spans="1:11" x14ac:dyDescent="0.2">
      <c r="A158" s="5" t="s">
        <v>12</v>
      </c>
      <c r="B158">
        <v>911.79684899999995</v>
      </c>
      <c r="C158">
        <v>3.4529999999999998E-2</v>
      </c>
      <c r="D158">
        <v>1</v>
      </c>
      <c r="E158">
        <v>6.25</v>
      </c>
      <c r="F158" s="6">
        <f t="shared" si="0"/>
        <v>0.35953401197245249</v>
      </c>
      <c r="G158">
        <v>34.5974</v>
      </c>
      <c r="H158">
        <v>0.187528</v>
      </c>
      <c r="I158">
        <v>1</v>
      </c>
      <c r="J158">
        <v>1</v>
      </c>
      <c r="K158" s="7">
        <v>1</v>
      </c>
    </row>
    <row r="159" spans="1:11" x14ac:dyDescent="0.2">
      <c r="A159" s="5" t="s">
        <v>12</v>
      </c>
      <c r="B159">
        <v>911.79684899999995</v>
      </c>
      <c r="C159">
        <v>3.4529999999999998E-2</v>
      </c>
      <c r="D159">
        <v>1</v>
      </c>
      <c r="E159">
        <v>12.5</v>
      </c>
      <c r="F159" s="6">
        <f t="shared" si="0"/>
        <v>0.71906802394490499</v>
      </c>
      <c r="G159">
        <v>31.1022</v>
      </c>
      <c r="H159">
        <v>0.29791299999999998</v>
      </c>
      <c r="I159">
        <v>1</v>
      </c>
      <c r="J159">
        <v>1</v>
      </c>
      <c r="K159" s="7">
        <v>1</v>
      </c>
    </row>
    <row r="160" spans="1:11" x14ac:dyDescent="0.2">
      <c r="A160" s="5" t="s">
        <v>12</v>
      </c>
      <c r="B160">
        <v>911.79684899999995</v>
      </c>
      <c r="C160">
        <v>3.4529999999999998E-2</v>
      </c>
      <c r="D160">
        <v>1</v>
      </c>
      <c r="E160">
        <v>18.75</v>
      </c>
      <c r="F160" s="6">
        <f t="shared" si="0"/>
        <v>1.0786020359173574</v>
      </c>
      <c r="G160">
        <v>25.189599999999999</v>
      </c>
      <c r="H160">
        <v>0.328484</v>
      </c>
      <c r="I160">
        <v>1</v>
      </c>
      <c r="J160">
        <v>1</v>
      </c>
      <c r="K160" s="7">
        <v>1</v>
      </c>
    </row>
    <row r="161" spans="1:11" x14ac:dyDescent="0.2">
      <c r="A161" s="5" t="s">
        <v>12</v>
      </c>
      <c r="B161">
        <v>911.79684899999995</v>
      </c>
      <c r="C161">
        <v>3.4529999999999998E-2</v>
      </c>
      <c r="D161">
        <v>1</v>
      </c>
      <c r="E161">
        <v>0</v>
      </c>
      <c r="F161" s="6">
        <v>1.271927</v>
      </c>
      <c r="G161">
        <v>20.9907</v>
      </c>
      <c r="H161">
        <v>0.31236599999999998</v>
      </c>
      <c r="I161">
        <v>1</v>
      </c>
      <c r="J161">
        <v>1</v>
      </c>
      <c r="K161" s="7">
        <v>1</v>
      </c>
    </row>
    <row r="162" spans="1:11" x14ac:dyDescent="0.2">
      <c r="A162" s="5" t="s">
        <v>12</v>
      </c>
      <c r="B162">
        <v>911.79684899999995</v>
      </c>
      <c r="C162">
        <v>3.4529999999999998E-2</v>
      </c>
      <c r="D162">
        <v>1</v>
      </c>
      <c r="E162">
        <v>25</v>
      </c>
      <c r="F162" s="6">
        <f t="shared" si="0"/>
        <v>1.43813604788981</v>
      </c>
      <c r="G162">
        <v>16.7118</v>
      </c>
      <c r="H162">
        <v>0.27450600000000003</v>
      </c>
      <c r="I162">
        <v>1</v>
      </c>
      <c r="J162">
        <v>1</v>
      </c>
      <c r="K162" s="7">
        <v>1</v>
      </c>
    </row>
    <row r="163" spans="1:11" x14ac:dyDescent="0.2">
      <c r="A163" s="1" t="s">
        <v>13</v>
      </c>
      <c r="B163" s="2">
        <v>1011.726937</v>
      </c>
      <c r="C163" s="2">
        <v>3</v>
      </c>
      <c r="D163" s="2">
        <v>0.97</v>
      </c>
      <c r="E163" s="2">
        <v>0</v>
      </c>
      <c r="F163" s="3">
        <v>9.9999999999999995E-8</v>
      </c>
      <c r="G163" s="2">
        <v>45.998199999999997</v>
      </c>
      <c r="H163" s="2">
        <v>1.0000000000000001E-5</v>
      </c>
      <c r="I163" s="2">
        <v>1</v>
      </c>
      <c r="J163" s="2">
        <v>1</v>
      </c>
      <c r="K163" s="4">
        <v>1</v>
      </c>
    </row>
    <row r="164" spans="1:11" x14ac:dyDescent="0.2">
      <c r="A164" s="5" t="s">
        <v>13</v>
      </c>
      <c r="B164">
        <v>1011.726937</v>
      </c>
      <c r="C164">
        <v>3</v>
      </c>
      <c r="D164">
        <v>0.97</v>
      </c>
      <c r="E164">
        <v>6.25</v>
      </c>
      <c r="F164" s="6">
        <f t="shared" si="0"/>
        <v>0.39893781721131033</v>
      </c>
      <c r="G164">
        <v>-14</v>
      </c>
      <c r="H164">
        <v>-8.6E-3</v>
      </c>
      <c r="I164">
        <v>1</v>
      </c>
      <c r="J164">
        <v>1</v>
      </c>
      <c r="K164" s="7">
        <v>1</v>
      </c>
    </row>
    <row r="165" spans="1:11" x14ac:dyDescent="0.2">
      <c r="A165" s="5" t="s">
        <v>13</v>
      </c>
      <c r="B165">
        <v>1011.726937</v>
      </c>
      <c r="C165">
        <v>3</v>
      </c>
      <c r="D165">
        <v>0.97</v>
      </c>
      <c r="E165">
        <v>12.5</v>
      </c>
      <c r="F165" s="6">
        <f t="shared" si="0"/>
        <v>0.79787563442262066</v>
      </c>
      <c r="G165">
        <v>-69.326099999999997</v>
      </c>
      <c r="H165">
        <v>-7.0000000000000007E-2</v>
      </c>
      <c r="I165">
        <v>1</v>
      </c>
      <c r="J165">
        <v>1</v>
      </c>
      <c r="K165" s="7">
        <v>1</v>
      </c>
    </row>
    <row r="166" spans="1:11" x14ac:dyDescent="0.2">
      <c r="A166" s="5" t="s">
        <v>13</v>
      </c>
      <c r="B166">
        <v>1011.726937</v>
      </c>
      <c r="C166">
        <v>3</v>
      </c>
      <c r="D166">
        <v>0.97</v>
      </c>
      <c r="E166">
        <v>18.75</v>
      </c>
      <c r="F166" s="6">
        <f t="shared" si="0"/>
        <v>1.196813451633931</v>
      </c>
      <c r="G166">
        <v>-124</v>
      </c>
      <c r="H166">
        <v>-0.21</v>
      </c>
      <c r="I166">
        <v>1</v>
      </c>
      <c r="J166">
        <v>1</v>
      </c>
      <c r="K166" s="7">
        <v>1</v>
      </c>
    </row>
    <row r="167" spans="1:11" x14ac:dyDescent="0.2">
      <c r="A167" s="8" t="s">
        <v>13</v>
      </c>
      <c r="B167" s="9">
        <v>1011.726937</v>
      </c>
      <c r="C167" s="9">
        <v>3</v>
      </c>
      <c r="D167" s="9">
        <v>0.97</v>
      </c>
      <c r="E167" s="9">
        <v>25</v>
      </c>
      <c r="F167" s="10">
        <f t="shared" si="0"/>
        <v>1.5957512688452413</v>
      </c>
      <c r="G167" s="9">
        <v>-181</v>
      </c>
      <c r="H167" s="9">
        <v>-0.4</v>
      </c>
      <c r="I167" s="9">
        <v>1</v>
      </c>
      <c r="J167" s="9">
        <v>1</v>
      </c>
      <c r="K167" s="11">
        <v>1</v>
      </c>
    </row>
    <row r="168" spans="1:11" x14ac:dyDescent="0.2">
      <c r="A168" s="5" t="s">
        <v>14</v>
      </c>
      <c r="B168">
        <v>790.18058399999995</v>
      </c>
      <c r="C168">
        <v>9.7947999999999993E-2</v>
      </c>
      <c r="D168">
        <v>1</v>
      </c>
      <c r="E168">
        <v>0</v>
      </c>
      <c r="F168" s="6">
        <f t="shared" si="0"/>
        <v>0</v>
      </c>
      <c r="G168">
        <v>33.855699999999999</v>
      </c>
      <c r="H168">
        <v>0</v>
      </c>
      <c r="I168">
        <v>1</v>
      </c>
      <c r="J168">
        <v>1</v>
      </c>
      <c r="K168" s="7">
        <v>1</v>
      </c>
    </row>
    <row r="169" spans="1:11" x14ac:dyDescent="0.2">
      <c r="A169" s="5" t="s">
        <v>14</v>
      </c>
      <c r="B169">
        <v>790.18058399999995</v>
      </c>
      <c r="C169">
        <v>9.7947999999999993E-2</v>
      </c>
      <c r="D169">
        <v>1</v>
      </c>
      <c r="E169">
        <v>6.25</v>
      </c>
      <c r="F169" s="6">
        <f t="shared" si="0"/>
        <v>0.31157904949971538</v>
      </c>
      <c r="G169">
        <v>29.880600000000001</v>
      </c>
      <c r="H169">
        <v>0.124765</v>
      </c>
      <c r="I169">
        <v>1</v>
      </c>
      <c r="J169">
        <v>1</v>
      </c>
      <c r="K169" s="7">
        <v>1</v>
      </c>
    </row>
    <row r="170" spans="1:11" x14ac:dyDescent="0.2">
      <c r="A170" s="5" t="s">
        <v>14</v>
      </c>
      <c r="B170">
        <v>790.18058399999995</v>
      </c>
      <c r="C170">
        <v>9.7947999999999993E-2</v>
      </c>
      <c r="D170">
        <v>1</v>
      </c>
      <c r="E170">
        <v>0</v>
      </c>
      <c r="F170" s="6">
        <v>0.46157599999999999</v>
      </c>
      <c r="G170">
        <v>27.459399999999999</v>
      </c>
      <c r="H170">
        <v>0.16035199999999999</v>
      </c>
      <c r="I170">
        <v>1</v>
      </c>
      <c r="J170">
        <v>1</v>
      </c>
      <c r="K170" s="7">
        <v>1</v>
      </c>
    </row>
    <row r="171" spans="1:11" x14ac:dyDescent="0.2">
      <c r="A171" s="5" t="s">
        <v>14</v>
      </c>
      <c r="B171">
        <v>790.18058399999995</v>
      </c>
      <c r="C171">
        <v>9.7947999999999993E-2</v>
      </c>
      <c r="D171">
        <v>1</v>
      </c>
      <c r="E171">
        <v>12.5</v>
      </c>
      <c r="F171" s="6">
        <f t="shared" si="0"/>
        <v>0.62315809899943075</v>
      </c>
      <c r="G171">
        <v>24.030799999999999</v>
      </c>
      <c r="H171">
        <v>0.180978</v>
      </c>
      <c r="I171">
        <v>1</v>
      </c>
      <c r="J171">
        <v>1</v>
      </c>
      <c r="K171" s="7">
        <v>1</v>
      </c>
    </row>
    <row r="172" spans="1:11" x14ac:dyDescent="0.2">
      <c r="A172" s="5" t="s">
        <v>14</v>
      </c>
      <c r="B172">
        <v>790.18058399999995</v>
      </c>
      <c r="C172">
        <v>9.7947999999999993E-2</v>
      </c>
      <c r="D172">
        <v>1</v>
      </c>
      <c r="E172">
        <v>18.75</v>
      </c>
      <c r="F172" s="6">
        <f t="shared" si="0"/>
        <v>0.93473714849914613</v>
      </c>
      <c r="G172">
        <v>16.299700000000001</v>
      </c>
      <c r="H172">
        <v>0.167826</v>
      </c>
      <c r="I172">
        <v>1</v>
      </c>
      <c r="J172">
        <v>1</v>
      </c>
      <c r="K172" s="7">
        <v>1</v>
      </c>
    </row>
    <row r="173" spans="1:11" x14ac:dyDescent="0.2">
      <c r="A173" s="5" t="s">
        <v>14</v>
      </c>
      <c r="B173">
        <v>790.18058399999995</v>
      </c>
      <c r="C173">
        <v>9.7947999999999993E-2</v>
      </c>
      <c r="D173">
        <v>1</v>
      </c>
      <c r="E173">
        <v>25</v>
      </c>
      <c r="F173" s="6">
        <f t="shared" si="0"/>
        <v>1.2463161979988615</v>
      </c>
      <c r="G173">
        <v>5.5765099999999999</v>
      </c>
      <c r="H173">
        <v>7.1659700000000007E-2</v>
      </c>
      <c r="I173">
        <v>1</v>
      </c>
      <c r="J173">
        <v>1</v>
      </c>
      <c r="K173" s="7">
        <v>1</v>
      </c>
    </row>
    <row r="174" spans="1:11" x14ac:dyDescent="0.2">
      <c r="A174" s="1" t="s">
        <v>15</v>
      </c>
      <c r="B174" s="2">
        <v>1017.862255</v>
      </c>
      <c r="C174" s="2">
        <v>2.9899279999999999</v>
      </c>
      <c r="D174" s="2">
        <v>0.97</v>
      </c>
      <c r="E174" s="2">
        <v>0</v>
      </c>
      <c r="F174" s="3">
        <v>9.9999999999999995E-8</v>
      </c>
      <c r="G174" s="2">
        <v>40.799100000000003</v>
      </c>
      <c r="H174" s="2">
        <v>1.0000000000000001E-5</v>
      </c>
      <c r="I174" s="2">
        <v>1</v>
      </c>
      <c r="J174" s="2">
        <v>1</v>
      </c>
      <c r="K174" s="4">
        <v>1</v>
      </c>
    </row>
    <row r="175" spans="1:11" x14ac:dyDescent="0.2">
      <c r="A175" s="5" t="s">
        <v>15</v>
      </c>
      <c r="B175">
        <v>1017.862255</v>
      </c>
      <c r="C175">
        <v>2.9899279999999999</v>
      </c>
      <c r="D175">
        <v>0.97</v>
      </c>
      <c r="E175">
        <v>6.25</v>
      </c>
      <c r="F175" s="6">
        <f t="shared" si="0"/>
        <v>0.40135705730594984</v>
      </c>
      <c r="G175">
        <v>-14</v>
      </c>
      <c r="H175">
        <v>-8.0000000000000002E-3</v>
      </c>
      <c r="I175">
        <v>1</v>
      </c>
      <c r="J175">
        <v>1</v>
      </c>
      <c r="K175" s="7">
        <v>1</v>
      </c>
    </row>
    <row r="176" spans="1:11" x14ac:dyDescent="0.2">
      <c r="A176" s="5" t="s">
        <v>15</v>
      </c>
      <c r="B176">
        <v>1017.862255</v>
      </c>
      <c r="C176">
        <v>2.9899279999999999</v>
      </c>
      <c r="D176">
        <v>0.97</v>
      </c>
      <c r="E176">
        <v>12.5</v>
      </c>
      <c r="F176" s="6">
        <f t="shared" si="0"/>
        <v>0.80271411461189968</v>
      </c>
      <c r="G176">
        <v>-68</v>
      </c>
      <c r="H176">
        <v>-7.0000000000000007E-2</v>
      </c>
      <c r="I176">
        <v>1</v>
      </c>
      <c r="J176">
        <v>1</v>
      </c>
      <c r="K176" s="7">
        <v>1</v>
      </c>
    </row>
    <row r="177" spans="1:11" x14ac:dyDescent="0.2">
      <c r="A177" s="5" t="s">
        <v>15</v>
      </c>
      <c r="B177">
        <v>1017.862255</v>
      </c>
      <c r="C177">
        <v>2.9899279999999999</v>
      </c>
      <c r="D177">
        <v>0.97</v>
      </c>
      <c r="E177">
        <v>18.75</v>
      </c>
      <c r="F177" s="6">
        <f t="shared" si="0"/>
        <v>1.2040711719178496</v>
      </c>
      <c r="G177">
        <v>-123</v>
      </c>
      <c r="H177">
        <v>-0.21</v>
      </c>
      <c r="I177">
        <v>1</v>
      </c>
      <c r="J177">
        <v>1</v>
      </c>
      <c r="K177" s="7">
        <v>1</v>
      </c>
    </row>
    <row r="178" spans="1:11" x14ac:dyDescent="0.2">
      <c r="A178" s="8" t="s">
        <v>15</v>
      </c>
      <c r="B178" s="9">
        <v>1017.862255</v>
      </c>
      <c r="C178" s="9">
        <v>2.9899279999999999</v>
      </c>
      <c r="D178" s="9">
        <v>0.97</v>
      </c>
      <c r="E178" s="9">
        <v>25</v>
      </c>
      <c r="F178" s="10">
        <f t="shared" si="0"/>
        <v>1.6054282292237994</v>
      </c>
      <c r="G178" s="9">
        <v>-179</v>
      </c>
      <c r="H178" s="9">
        <v>-0.4</v>
      </c>
      <c r="I178" s="9">
        <v>1</v>
      </c>
      <c r="J178" s="9">
        <v>1</v>
      </c>
      <c r="K178" s="11">
        <v>1</v>
      </c>
    </row>
    <row r="179" spans="1:11" x14ac:dyDescent="0.2">
      <c r="A179" s="5" t="s">
        <v>16</v>
      </c>
      <c r="B179">
        <v>979.64239999999995</v>
      </c>
      <c r="C179">
        <v>0.382241</v>
      </c>
      <c r="D179">
        <v>0.84149499999999999</v>
      </c>
      <c r="E179">
        <v>0</v>
      </c>
      <c r="F179" s="6">
        <f t="shared" si="0"/>
        <v>0</v>
      </c>
      <c r="G179">
        <v>3643</v>
      </c>
      <c r="H179">
        <v>0</v>
      </c>
      <c r="I179">
        <v>1</v>
      </c>
      <c r="J179">
        <v>1</v>
      </c>
      <c r="K179" s="7">
        <v>1</v>
      </c>
    </row>
    <row r="180" spans="1:11" x14ac:dyDescent="0.2">
      <c r="A180" s="5" t="s">
        <v>16</v>
      </c>
      <c r="B180">
        <v>979.64239999999995</v>
      </c>
      <c r="C180">
        <v>0.382241</v>
      </c>
      <c r="D180">
        <v>0.84149499999999999</v>
      </c>
      <c r="E180">
        <v>0</v>
      </c>
      <c r="F180" s="6">
        <v>0.36094500000000002</v>
      </c>
      <c r="G180">
        <v>31.123999999999999</v>
      </c>
      <c r="H180">
        <v>0.13176499999999999</v>
      </c>
      <c r="I180">
        <v>1</v>
      </c>
      <c r="J180">
        <v>1</v>
      </c>
      <c r="K180" s="7">
        <v>1</v>
      </c>
    </row>
    <row r="181" spans="1:11" x14ac:dyDescent="0.2">
      <c r="A181" s="5" t="s">
        <v>16</v>
      </c>
      <c r="B181">
        <v>979.64239999999995</v>
      </c>
      <c r="C181">
        <v>0.382241</v>
      </c>
      <c r="D181">
        <v>0.84149499999999999</v>
      </c>
      <c r="E181">
        <v>6.25</v>
      </c>
      <c r="F181" s="6">
        <f t="shared" si="0"/>
        <v>0.38628644391193995</v>
      </c>
      <c r="G181">
        <v>30.878599999999999</v>
      </c>
      <c r="H181">
        <v>0.13875499999999999</v>
      </c>
      <c r="I181">
        <v>1</v>
      </c>
      <c r="J181">
        <v>1</v>
      </c>
      <c r="K181" s="7">
        <v>1</v>
      </c>
    </row>
    <row r="182" spans="1:11" x14ac:dyDescent="0.2">
      <c r="A182" s="5" t="s">
        <v>16</v>
      </c>
      <c r="B182">
        <v>979.64239999999995</v>
      </c>
      <c r="C182">
        <v>0.382241</v>
      </c>
      <c r="D182">
        <v>0.84149499999999999</v>
      </c>
      <c r="E182">
        <v>12.5</v>
      </c>
      <c r="F182" s="6">
        <f t="shared" si="0"/>
        <v>0.77257288782387989</v>
      </c>
      <c r="G182">
        <v>25.483799999999999</v>
      </c>
      <c r="H182">
        <v>0.20774000000000001</v>
      </c>
      <c r="I182">
        <v>1</v>
      </c>
      <c r="J182">
        <v>1</v>
      </c>
      <c r="K182" s="7">
        <v>1</v>
      </c>
    </row>
    <row r="183" spans="1:11" x14ac:dyDescent="0.2">
      <c r="A183" s="5" t="s">
        <v>16</v>
      </c>
      <c r="B183">
        <v>979.64239999999995</v>
      </c>
      <c r="C183">
        <v>0.382241</v>
      </c>
      <c r="D183">
        <v>0.84149499999999999</v>
      </c>
      <c r="E183">
        <v>18.75</v>
      </c>
      <c r="F183" s="6">
        <f t="shared" si="0"/>
        <v>1.1588593317358198</v>
      </c>
      <c r="G183">
        <v>18.2529</v>
      </c>
      <c r="H183">
        <v>0.20371800000000001</v>
      </c>
      <c r="I183">
        <v>1</v>
      </c>
      <c r="J183">
        <v>1</v>
      </c>
      <c r="K183" s="7">
        <v>1</v>
      </c>
    </row>
    <row r="184" spans="1:11" x14ac:dyDescent="0.2">
      <c r="A184" s="5" t="s">
        <v>16</v>
      </c>
      <c r="B184">
        <v>979.64239999999995</v>
      </c>
      <c r="C184">
        <v>0.382241</v>
      </c>
      <c r="D184">
        <v>0.84149499999999999</v>
      </c>
      <c r="E184">
        <v>25</v>
      </c>
      <c r="F184" s="6">
        <f t="shared" si="0"/>
        <v>1.5451457756477598</v>
      </c>
      <c r="G184">
        <v>8.7695500000000006</v>
      </c>
      <c r="H184">
        <v>0.123616</v>
      </c>
      <c r="I184">
        <v>1</v>
      </c>
      <c r="J184">
        <v>1</v>
      </c>
      <c r="K184" s="7">
        <v>1</v>
      </c>
    </row>
    <row r="185" spans="1:11" x14ac:dyDescent="0.2">
      <c r="A185" s="1" t="s">
        <v>17</v>
      </c>
      <c r="B185" s="2">
        <v>1017.772354</v>
      </c>
      <c r="C185" s="2">
        <v>2.4897079999999998</v>
      </c>
      <c r="D185" s="2">
        <v>0.97</v>
      </c>
      <c r="E185" s="2">
        <v>0</v>
      </c>
      <c r="F185" s="3">
        <v>1.0000000000000001E-5</v>
      </c>
      <c r="G185" s="2">
        <v>39.0578</v>
      </c>
      <c r="H185" s="2">
        <v>9.9999999999999995E-7</v>
      </c>
      <c r="I185" s="2">
        <v>1</v>
      </c>
      <c r="J185" s="2">
        <v>1</v>
      </c>
      <c r="K185" s="4">
        <v>1</v>
      </c>
    </row>
    <row r="186" spans="1:11" x14ac:dyDescent="0.2">
      <c r="A186" s="5" t="s">
        <v>17</v>
      </c>
      <c r="B186">
        <v>1017.772354</v>
      </c>
      <c r="C186">
        <v>2.4897079999999998</v>
      </c>
      <c r="D186">
        <v>0.97</v>
      </c>
      <c r="E186">
        <v>6.25</v>
      </c>
      <c r="F186" s="6">
        <f t="shared" si="0"/>
        <v>0.40132160810775863</v>
      </c>
      <c r="G186">
        <v>-7</v>
      </c>
      <c r="H186">
        <v>-5.0000000000000001E-3</v>
      </c>
      <c r="I186">
        <v>1</v>
      </c>
      <c r="J186">
        <v>1</v>
      </c>
      <c r="K186" s="7">
        <v>1</v>
      </c>
    </row>
    <row r="187" spans="1:11" x14ac:dyDescent="0.2">
      <c r="A187" s="5" t="s">
        <v>17</v>
      </c>
      <c r="B187">
        <v>1017.772354</v>
      </c>
      <c r="C187">
        <v>2.4897079999999998</v>
      </c>
      <c r="D187">
        <v>0.97</v>
      </c>
      <c r="E187">
        <v>12.5</v>
      </c>
      <c r="F187" s="6">
        <f t="shared" si="0"/>
        <v>0.80264321621551726</v>
      </c>
      <c r="G187">
        <v>-52</v>
      </c>
      <c r="H187">
        <v>-0.10199999999999999</v>
      </c>
      <c r="I187">
        <v>1</v>
      </c>
      <c r="J187">
        <v>1</v>
      </c>
      <c r="K187" s="7">
        <v>1</v>
      </c>
    </row>
    <row r="188" spans="1:11" x14ac:dyDescent="0.2">
      <c r="A188" s="5" t="s">
        <v>17</v>
      </c>
      <c r="B188">
        <v>1017.772354</v>
      </c>
      <c r="C188">
        <v>2.4897079999999998</v>
      </c>
      <c r="D188">
        <v>0.97</v>
      </c>
      <c r="E188">
        <v>18.75</v>
      </c>
      <c r="F188" s="6">
        <f t="shared" si="0"/>
        <v>1.2039648243232759</v>
      </c>
      <c r="G188">
        <v>-99</v>
      </c>
      <c r="H188">
        <v>-0.20100000000000001</v>
      </c>
      <c r="I188">
        <v>1</v>
      </c>
      <c r="J188">
        <v>1</v>
      </c>
      <c r="K188" s="7">
        <v>1</v>
      </c>
    </row>
    <row r="189" spans="1:11" x14ac:dyDescent="0.2">
      <c r="A189" s="8" t="s">
        <v>17</v>
      </c>
      <c r="B189" s="9">
        <v>1017.772354</v>
      </c>
      <c r="C189" s="9">
        <v>2.4897079999999998</v>
      </c>
      <c r="D189" s="9">
        <v>0.97</v>
      </c>
      <c r="E189" s="9">
        <v>25</v>
      </c>
      <c r="F189" s="10">
        <f t="shared" si="0"/>
        <v>1.6052864324310345</v>
      </c>
      <c r="G189" s="9">
        <v>-146</v>
      </c>
      <c r="H189" s="9">
        <v>-0.39142300000000002</v>
      </c>
      <c r="I189" s="9">
        <v>1</v>
      </c>
      <c r="J189" s="9">
        <v>1</v>
      </c>
      <c r="K189" s="11">
        <v>1</v>
      </c>
    </row>
    <row r="190" spans="1:11" x14ac:dyDescent="0.2">
      <c r="A190" s="5" t="s">
        <v>18</v>
      </c>
      <c r="B190">
        <v>951.05742099999998</v>
      </c>
      <c r="C190">
        <v>1.235298</v>
      </c>
      <c r="D190">
        <v>0.96070999999999995</v>
      </c>
      <c r="E190">
        <v>0</v>
      </c>
      <c r="F190" s="6">
        <f t="shared" si="0"/>
        <v>0</v>
      </c>
      <c r="G190">
        <v>155.197</v>
      </c>
      <c r="H190">
        <v>0</v>
      </c>
      <c r="I190">
        <v>1</v>
      </c>
      <c r="J190">
        <v>1</v>
      </c>
      <c r="K190" s="7">
        <v>1</v>
      </c>
    </row>
    <row r="191" spans="1:11" x14ac:dyDescent="0.2">
      <c r="A191" s="5" t="s">
        <v>18</v>
      </c>
      <c r="B191">
        <v>951.05742099999998</v>
      </c>
      <c r="C191">
        <v>1.235298</v>
      </c>
      <c r="D191">
        <v>0.96070999999999995</v>
      </c>
      <c r="E191">
        <v>6.25</v>
      </c>
      <c r="F191" s="6">
        <f t="shared" si="0"/>
        <v>0.37501499436340319</v>
      </c>
      <c r="G191">
        <v>10.178800000000001</v>
      </c>
      <c r="H191">
        <v>1.3835E-2</v>
      </c>
      <c r="I191">
        <v>1</v>
      </c>
      <c r="J191">
        <v>1</v>
      </c>
      <c r="K191" s="7">
        <v>1</v>
      </c>
    </row>
    <row r="192" spans="1:11" x14ac:dyDescent="0.2">
      <c r="A192" s="5" t="s">
        <v>18</v>
      </c>
      <c r="B192">
        <v>951.05742099999998</v>
      </c>
      <c r="C192">
        <v>1.235298</v>
      </c>
      <c r="D192">
        <v>0.96070999999999995</v>
      </c>
      <c r="E192">
        <v>12.5</v>
      </c>
      <c r="F192" s="6">
        <f t="shared" si="0"/>
        <v>0.75002998872680637</v>
      </c>
      <c r="G192">
        <v>-13.124599999999999</v>
      </c>
      <c r="H192">
        <v>-0.03</v>
      </c>
      <c r="I192">
        <v>1</v>
      </c>
      <c r="J192">
        <v>1</v>
      </c>
      <c r="K192" s="7">
        <v>1</v>
      </c>
    </row>
    <row r="193" spans="1:11" x14ac:dyDescent="0.2">
      <c r="A193" s="5" t="s">
        <v>18</v>
      </c>
      <c r="B193">
        <v>951.05742099999998</v>
      </c>
      <c r="C193">
        <v>1.235298</v>
      </c>
      <c r="D193">
        <v>0.96070999999999995</v>
      </c>
      <c r="E193">
        <v>18.75</v>
      </c>
      <c r="F193" s="6">
        <f t="shared" si="0"/>
        <v>1.1250449830902096</v>
      </c>
      <c r="G193">
        <v>-38.1449</v>
      </c>
      <c r="H193">
        <v>-0.14291699999999999</v>
      </c>
      <c r="I193">
        <v>1</v>
      </c>
      <c r="J193">
        <v>1</v>
      </c>
      <c r="K193" s="7">
        <v>1</v>
      </c>
    </row>
    <row r="194" spans="1:11" x14ac:dyDescent="0.2">
      <c r="A194" s="5" t="s">
        <v>18</v>
      </c>
      <c r="B194">
        <v>951.05742099999998</v>
      </c>
      <c r="C194">
        <v>1.235298</v>
      </c>
      <c r="D194">
        <v>0.96070999999999995</v>
      </c>
      <c r="E194">
        <v>0</v>
      </c>
      <c r="F194" s="6">
        <v>1.2440979999999999</v>
      </c>
      <c r="G194">
        <v>-46.596899999999998</v>
      </c>
      <c r="H194">
        <v>-0.19</v>
      </c>
      <c r="I194">
        <v>1</v>
      </c>
      <c r="J194">
        <v>1</v>
      </c>
      <c r="K194" s="7">
        <v>1</v>
      </c>
    </row>
    <row r="195" spans="1:11" x14ac:dyDescent="0.2">
      <c r="A195" s="5" t="s">
        <v>18</v>
      </c>
      <c r="B195">
        <v>951.05742099999998</v>
      </c>
      <c r="C195">
        <v>1.235298</v>
      </c>
      <c r="D195">
        <v>0.96070999999999995</v>
      </c>
      <c r="E195">
        <v>25</v>
      </c>
      <c r="F195" s="6">
        <f>B195*0.000063090196*E195</f>
        <v>1.5000599774536127</v>
      </c>
      <c r="G195">
        <v>-65.495099999999994</v>
      </c>
      <c r="H195">
        <v>-0.31</v>
      </c>
      <c r="I195">
        <v>1</v>
      </c>
      <c r="J195">
        <v>1</v>
      </c>
      <c r="K195" s="7">
        <v>1</v>
      </c>
    </row>
    <row r="196" spans="1:11" x14ac:dyDescent="0.2">
      <c r="A196" s="1" t="s">
        <v>19</v>
      </c>
      <c r="B196" s="2">
        <v>951.418543</v>
      </c>
      <c r="C196" s="2">
        <v>2.5736349999999999</v>
      </c>
      <c r="D196" s="2">
        <v>0.47604800000000003</v>
      </c>
      <c r="E196" s="2">
        <v>0</v>
      </c>
      <c r="F196" s="3">
        <f t="shared" ref="F196:F259" si="1">B196*0.000063090196*E196</f>
        <v>0</v>
      </c>
      <c r="G196" s="2">
        <v>307000</v>
      </c>
      <c r="H196" s="2">
        <v>0</v>
      </c>
      <c r="I196" s="2">
        <v>1</v>
      </c>
      <c r="J196" s="2">
        <v>1</v>
      </c>
      <c r="K196" s="4">
        <v>1</v>
      </c>
    </row>
    <row r="197" spans="1:11" x14ac:dyDescent="0.2">
      <c r="A197" s="5" t="s">
        <v>19</v>
      </c>
      <c r="B197">
        <v>951.418543</v>
      </c>
      <c r="C197">
        <v>2.5736349999999999</v>
      </c>
      <c r="D197">
        <v>0.47604800000000003</v>
      </c>
      <c r="E197">
        <v>6.25</v>
      </c>
      <c r="F197" s="6">
        <f t="shared" si="1"/>
        <v>0.37515738972440266</v>
      </c>
      <c r="G197">
        <v>-45.04</v>
      </c>
      <c r="H197">
        <v>-0.24431900000000001</v>
      </c>
      <c r="I197">
        <v>1</v>
      </c>
      <c r="J197">
        <v>1</v>
      </c>
      <c r="K197" s="7">
        <v>1</v>
      </c>
    </row>
    <row r="198" spans="1:11" x14ac:dyDescent="0.2">
      <c r="A198" s="5" t="s">
        <v>19</v>
      </c>
      <c r="B198">
        <v>951.418543</v>
      </c>
      <c r="C198">
        <v>2.5736349999999999</v>
      </c>
      <c r="D198">
        <v>0.47604800000000003</v>
      </c>
      <c r="E198">
        <v>12.5</v>
      </c>
      <c r="F198" s="6">
        <f t="shared" si="1"/>
        <v>0.75031477944880531</v>
      </c>
      <c r="G198">
        <v>107.502</v>
      </c>
      <c r="H198">
        <v>-1.46</v>
      </c>
      <c r="I198">
        <v>1</v>
      </c>
      <c r="J198">
        <v>1</v>
      </c>
      <c r="K198" s="7">
        <v>1</v>
      </c>
    </row>
    <row r="199" spans="1:11" x14ac:dyDescent="0.2">
      <c r="A199" s="5" t="s">
        <v>19</v>
      </c>
      <c r="B199">
        <v>951.418543</v>
      </c>
      <c r="C199">
        <v>2.5736349999999999</v>
      </c>
      <c r="D199">
        <v>0.47604800000000003</v>
      </c>
      <c r="E199">
        <v>18.75</v>
      </c>
      <c r="F199" s="6">
        <f t="shared" si="1"/>
        <v>1.1254721691732079</v>
      </c>
      <c r="G199">
        <v>28.094899999999999</v>
      </c>
      <c r="H199">
        <v>0.40393200000000001</v>
      </c>
      <c r="I199">
        <v>1</v>
      </c>
      <c r="J199">
        <v>1</v>
      </c>
      <c r="K199" s="7">
        <v>1</v>
      </c>
    </row>
    <row r="200" spans="1:11" x14ac:dyDescent="0.2">
      <c r="A200" s="8" t="s">
        <v>19</v>
      </c>
      <c r="B200" s="9">
        <v>951.418543</v>
      </c>
      <c r="C200" s="9">
        <v>2.5736349999999999</v>
      </c>
      <c r="D200" s="9">
        <v>0.47604800000000003</v>
      </c>
      <c r="E200" s="9">
        <v>25</v>
      </c>
      <c r="F200" s="10">
        <f t="shared" si="1"/>
        <v>1.5006295588976106</v>
      </c>
      <c r="G200" s="9">
        <v>20.256</v>
      </c>
      <c r="H200" s="9">
        <v>0.36618099999999998</v>
      </c>
      <c r="I200" s="9">
        <v>1</v>
      </c>
      <c r="J200" s="9">
        <v>1</v>
      </c>
      <c r="K200" s="11">
        <v>1</v>
      </c>
    </row>
    <row r="201" spans="1:11" x14ac:dyDescent="0.2">
      <c r="A201" s="5" t="s">
        <v>20</v>
      </c>
      <c r="B201">
        <v>708.35523000000001</v>
      </c>
      <c r="C201">
        <v>8.6915999999999993E-2</v>
      </c>
      <c r="D201">
        <v>1</v>
      </c>
      <c r="E201">
        <v>0</v>
      </c>
      <c r="F201" s="6">
        <f t="shared" si="1"/>
        <v>0</v>
      </c>
      <c r="G201">
        <v>33.769399999999997</v>
      </c>
      <c r="H201">
        <v>0</v>
      </c>
      <c r="I201">
        <v>1</v>
      </c>
      <c r="J201">
        <v>1</v>
      </c>
      <c r="K201" s="7">
        <v>1</v>
      </c>
    </row>
    <row r="202" spans="1:11" x14ac:dyDescent="0.2">
      <c r="A202" s="5" t="s">
        <v>20</v>
      </c>
      <c r="B202">
        <v>708.35523000000001</v>
      </c>
      <c r="C202">
        <v>8.6915999999999993E-2</v>
      </c>
      <c r="D202">
        <v>1</v>
      </c>
      <c r="E202">
        <v>6.25</v>
      </c>
      <c r="F202" s="6">
        <f t="shared" si="1"/>
        <v>0.27931418936453173</v>
      </c>
      <c r="G202">
        <v>30.0244</v>
      </c>
      <c r="H202">
        <v>0.125662</v>
      </c>
      <c r="I202">
        <v>1</v>
      </c>
      <c r="J202">
        <v>1</v>
      </c>
      <c r="K202" s="7">
        <v>1</v>
      </c>
    </row>
    <row r="203" spans="1:11" x14ac:dyDescent="0.2">
      <c r="A203" s="5" t="s">
        <v>20</v>
      </c>
      <c r="B203">
        <v>708.35523000000001</v>
      </c>
      <c r="C203">
        <v>8.6915999999999993E-2</v>
      </c>
      <c r="D203">
        <v>1</v>
      </c>
      <c r="E203">
        <v>12.5</v>
      </c>
      <c r="F203" s="6">
        <f t="shared" si="1"/>
        <v>0.55862837872906346</v>
      </c>
      <c r="G203">
        <v>24.102399999999999</v>
      </c>
      <c r="H203">
        <v>0.18213299999999999</v>
      </c>
      <c r="I203">
        <v>1</v>
      </c>
      <c r="J203">
        <v>1</v>
      </c>
      <c r="K203" s="7">
        <v>1</v>
      </c>
    </row>
    <row r="204" spans="1:11" x14ac:dyDescent="0.2">
      <c r="A204" s="5" t="s">
        <v>20</v>
      </c>
      <c r="B204">
        <v>708.35523000000001</v>
      </c>
      <c r="C204">
        <v>8.6915999999999993E-2</v>
      </c>
      <c r="D204">
        <v>1</v>
      </c>
      <c r="E204">
        <v>18.75</v>
      </c>
      <c r="F204" s="6">
        <f t="shared" si="1"/>
        <v>0.83794256809359524</v>
      </c>
      <c r="G204">
        <v>16.3033</v>
      </c>
      <c r="H204">
        <v>0.16864299999999999</v>
      </c>
      <c r="I204">
        <v>1</v>
      </c>
      <c r="J204">
        <v>1</v>
      </c>
      <c r="K204" s="7">
        <v>1</v>
      </c>
    </row>
    <row r="205" spans="1:11" x14ac:dyDescent="0.2">
      <c r="A205" s="5" t="s">
        <v>20</v>
      </c>
      <c r="B205">
        <v>708.35523000000001</v>
      </c>
      <c r="C205">
        <v>8.6915999999999993E-2</v>
      </c>
      <c r="D205">
        <v>1</v>
      </c>
      <c r="E205">
        <v>0</v>
      </c>
      <c r="F205" s="6">
        <v>1.0109779999999999</v>
      </c>
      <c r="G205">
        <v>9.9589999999999996</v>
      </c>
      <c r="H205">
        <v>0.11805599999999999</v>
      </c>
      <c r="I205">
        <v>1</v>
      </c>
      <c r="J205">
        <v>1</v>
      </c>
      <c r="K205" s="7">
        <v>1</v>
      </c>
    </row>
    <row r="206" spans="1:11" x14ac:dyDescent="0.2">
      <c r="A206" s="5" t="s">
        <v>20</v>
      </c>
      <c r="B206">
        <v>708.35523000000001</v>
      </c>
      <c r="C206">
        <v>8.6915999999999993E-2</v>
      </c>
      <c r="D206">
        <v>1</v>
      </c>
      <c r="E206">
        <v>25</v>
      </c>
      <c r="F206" s="6">
        <f t="shared" si="1"/>
        <v>1.1172567574581269</v>
      </c>
      <c r="G206">
        <v>5.6672900000000004</v>
      </c>
      <c r="H206">
        <v>7.2866700000000006E-2</v>
      </c>
      <c r="I206">
        <v>1</v>
      </c>
      <c r="J206">
        <v>1</v>
      </c>
      <c r="K206" s="7">
        <v>1</v>
      </c>
    </row>
    <row r="207" spans="1:11" x14ac:dyDescent="0.2">
      <c r="A207" s="1" t="s">
        <v>21</v>
      </c>
      <c r="B207" s="2">
        <v>1015.4262660000001</v>
      </c>
      <c r="C207" s="2">
        <v>1.9895430000000001</v>
      </c>
      <c r="D207" s="2">
        <v>0.97</v>
      </c>
      <c r="E207" s="2">
        <v>0</v>
      </c>
      <c r="F207" s="3">
        <v>1.0000000000000001E-5</v>
      </c>
      <c r="G207" s="2">
        <v>37.334600000000002</v>
      </c>
      <c r="H207" s="2">
        <v>1.0000000000000001E-5</v>
      </c>
      <c r="I207" s="2">
        <v>1</v>
      </c>
      <c r="J207" s="2">
        <v>1</v>
      </c>
      <c r="K207" s="4">
        <v>1</v>
      </c>
    </row>
    <row r="208" spans="1:11" x14ac:dyDescent="0.2">
      <c r="A208" s="5" t="s">
        <v>21</v>
      </c>
      <c r="B208">
        <v>1015.4262660000001</v>
      </c>
      <c r="C208">
        <v>1.9895430000000001</v>
      </c>
      <c r="D208">
        <v>0.97</v>
      </c>
      <c r="E208">
        <v>6.25</v>
      </c>
      <c r="F208" s="6">
        <f t="shared" si="1"/>
        <v>0.40039651340930082</v>
      </c>
      <c r="G208">
        <v>-0.25</v>
      </c>
      <c r="H208">
        <v>-2.2000000000000001E-4</v>
      </c>
      <c r="I208">
        <v>1</v>
      </c>
      <c r="J208">
        <v>1</v>
      </c>
      <c r="K208" s="7">
        <v>1</v>
      </c>
    </row>
    <row r="209" spans="1:11" x14ac:dyDescent="0.2">
      <c r="A209" s="5" t="s">
        <v>21</v>
      </c>
      <c r="B209">
        <v>1015.4262660000001</v>
      </c>
      <c r="C209">
        <v>1.9895430000000001</v>
      </c>
      <c r="D209">
        <v>0.97</v>
      </c>
      <c r="E209">
        <v>12.5</v>
      </c>
      <c r="F209" s="6">
        <f t="shared" si="1"/>
        <v>0.80079302681860165</v>
      </c>
      <c r="G209">
        <v>-37</v>
      </c>
      <c r="H209">
        <v>-6.2899999999999998E-2</v>
      </c>
      <c r="I209">
        <v>1</v>
      </c>
      <c r="J209">
        <v>1</v>
      </c>
      <c r="K209" s="7">
        <v>1</v>
      </c>
    </row>
    <row r="210" spans="1:11" x14ac:dyDescent="0.2">
      <c r="A210" s="5" t="s">
        <v>21</v>
      </c>
      <c r="B210">
        <v>1015.4262660000001</v>
      </c>
      <c r="C210">
        <v>1.9895430000000001</v>
      </c>
      <c r="D210">
        <v>0.97</v>
      </c>
      <c r="E210">
        <v>18.75</v>
      </c>
      <c r="F210" s="6">
        <f t="shared" si="1"/>
        <v>1.2011895402279025</v>
      </c>
      <c r="G210">
        <v>-75</v>
      </c>
      <c r="H210">
        <v>-0.186</v>
      </c>
      <c r="I210">
        <v>1</v>
      </c>
      <c r="J210">
        <v>1</v>
      </c>
      <c r="K210" s="7">
        <v>1</v>
      </c>
    </row>
    <row r="211" spans="1:11" x14ac:dyDescent="0.2">
      <c r="A211" s="8" t="s">
        <v>21</v>
      </c>
      <c r="B211" s="9">
        <v>1015.4262660000001</v>
      </c>
      <c r="C211" s="9">
        <v>1.9895430000000001</v>
      </c>
      <c r="D211" s="9">
        <v>0.97</v>
      </c>
      <c r="E211" s="9">
        <v>25</v>
      </c>
      <c r="F211" s="10">
        <f t="shared" si="1"/>
        <v>1.6015860536372033</v>
      </c>
      <c r="G211" s="9">
        <v>-114.992</v>
      </c>
      <c r="H211" s="9">
        <v>-0.37</v>
      </c>
      <c r="I211" s="9">
        <v>1</v>
      </c>
      <c r="J211" s="9">
        <v>1</v>
      </c>
      <c r="K211" s="11">
        <v>1</v>
      </c>
    </row>
    <row r="212" spans="1:11" x14ac:dyDescent="0.2">
      <c r="A212" s="5" t="s">
        <v>22</v>
      </c>
      <c r="B212">
        <v>848.03751799999998</v>
      </c>
      <c r="C212">
        <v>3.0665000000000001E-2</v>
      </c>
      <c r="D212">
        <v>1</v>
      </c>
      <c r="E212">
        <v>0</v>
      </c>
      <c r="F212" s="6">
        <f t="shared" si="1"/>
        <v>0</v>
      </c>
      <c r="G212">
        <v>37.523600000000002</v>
      </c>
      <c r="H212">
        <v>0</v>
      </c>
      <c r="I212">
        <v>1</v>
      </c>
      <c r="J212">
        <v>1</v>
      </c>
      <c r="K212" s="7">
        <v>1</v>
      </c>
    </row>
    <row r="213" spans="1:11" x14ac:dyDescent="0.2">
      <c r="A213" s="5" t="s">
        <v>22</v>
      </c>
      <c r="B213">
        <v>848.03751799999998</v>
      </c>
      <c r="C213">
        <v>3.0665000000000001E-2</v>
      </c>
      <c r="D213">
        <v>1</v>
      </c>
      <c r="E213">
        <v>6.25</v>
      </c>
      <c r="F213" s="6">
        <f t="shared" si="1"/>
        <v>0.33439283266233449</v>
      </c>
      <c r="G213">
        <v>34.783000000000001</v>
      </c>
      <c r="H213">
        <v>0.18928700000000001</v>
      </c>
      <c r="I213">
        <v>1</v>
      </c>
      <c r="J213">
        <v>1</v>
      </c>
      <c r="K213" s="7">
        <v>1</v>
      </c>
    </row>
    <row r="214" spans="1:11" x14ac:dyDescent="0.2">
      <c r="A214" s="5" t="s">
        <v>22</v>
      </c>
      <c r="B214">
        <v>848.03751799999998</v>
      </c>
      <c r="C214">
        <v>3.0665000000000001E-2</v>
      </c>
      <c r="D214">
        <v>1</v>
      </c>
      <c r="E214">
        <v>12.5</v>
      </c>
      <c r="F214" s="6">
        <f t="shared" si="1"/>
        <v>0.66878566532466899</v>
      </c>
      <c r="G214">
        <v>31.4617</v>
      </c>
      <c r="H214">
        <v>0.30312699999999998</v>
      </c>
      <c r="I214">
        <v>1</v>
      </c>
      <c r="J214">
        <v>1</v>
      </c>
      <c r="K214" s="7">
        <v>1</v>
      </c>
    </row>
    <row r="215" spans="1:11" x14ac:dyDescent="0.2">
      <c r="A215" s="5" t="s">
        <v>22</v>
      </c>
      <c r="B215">
        <v>848.03751799999998</v>
      </c>
      <c r="C215">
        <v>3.0665000000000001E-2</v>
      </c>
      <c r="D215">
        <v>1</v>
      </c>
      <c r="E215">
        <v>0</v>
      </c>
      <c r="F215" s="6">
        <v>0.76474399999999998</v>
      </c>
      <c r="G215">
        <v>29.862300000000001</v>
      </c>
      <c r="H215">
        <v>0.319573</v>
      </c>
      <c r="I215">
        <v>1</v>
      </c>
      <c r="J215">
        <v>1</v>
      </c>
      <c r="K215" s="7">
        <v>1</v>
      </c>
    </row>
    <row r="216" spans="1:11" x14ac:dyDescent="0.2">
      <c r="A216" s="5" t="s">
        <v>22</v>
      </c>
      <c r="B216">
        <v>848.03751799999998</v>
      </c>
      <c r="C216">
        <v>3.0665000000000001E-2</v>
      </c>
      <c r="D216">
        <v>1</v>
      </c>
      <c r="E216">
        <v>18.75</v>
      </c>
      <c r="F216" s="6">
        <f t="shared" si="1"/>
        <v>1.0031784979870035</v>
      </c>
      <c r="G216">
        <v>25.406199999999998</v>
      </c>
      <c r="H216">
        <v>0.333289</v>
      </c>
      <c r="I216">
        <v>1</v>
      </c>
      <c r="J216">
        <v>1</v>
      </c>
      <c r="K216" s="7">
        <v>1</v>
      </c>
    </row>
    <row r="217" spans="1:11" x14ac:dyDescent="0.2">
      <c r="A217" s="5" t="s">
        <v>22</v>
      </c>
      <c r="B217">
        <v>848.03751799999998</v>
      </c>
      <c r="C217">
        <v>3.0665000000000001E-2</v>
      </c>
      <c r="D217">
        <v>1</v>
      </c>
      <c r="E217">
        <v>25</v>
      </c>
      <c r="F217" s="6">
        <f t="shared" si="1"/>
        <v>1.337571330649338</v>
      </c>
      <c r="G217">
        <v>16.957899999999999</v>
      </c>
      <c r="H217">
        <v>0.27997899999999998</v>
      </c>
      <c r="I217">
        <v>1</v>
      </c>
      <c r="J217">
        <v>1</v>
      </c>
      <c r="K217" s="7">
        <v>1</v>
      </c>
    </row>
    <row r="218" spans="1:11" x14ac:dyDescent="0.2">
      <c r="A218" s="1" t="s">
        <v>23</v>
      </c>
      <c r="B218" s="2">
        <v>969.16704400000003</v>
      </c>
      <c r="C218" s="2">
        <v>2.0723600000000002</v>
      </c>
      <c r="D218" s="2">
        <v>0.47027999999999998</v>
      </c>
      <c r="E218" s="2">
        <v>0</v>
      </c>
      <c r="F218" s="3">
        <f t="shared" si="1"/>
        <v>0</v>
      </c>
      <c r="G218" s="2">
        <v>1337.51</v>
      </c>
      <c r="H218" s="2">
        <v>0</v>
      </c>
      <c r="I218" s="2">
        <v>1</v>
      </c>
      <c r="J218" s="2">
        <v>1</v>
      </c>
      <c r="K218" s="4">
        <v>1</v>
      </c>
    </row>
    <row r="219" spans="1:11" x14ac:dyDescent="0.2">
      <c r="A219" s="5" t="s">
        <v>23</v>
      </c>
      <c r="B219">
        <v>969.16704400000003</v>
      </c>
      <c r="C219">
        <v>2.0723600000000002</v>
      </c>
      <c r="D219">
        <v>0.47027999999999998</v>
      </c>
      <c r="E219">
        <v>6.25</v>
      </c>
      <c r="F219" s="6">
        <f t="shared" si="1"/>
        <v>0.38215586726687889</v>
      </c>
      <c r="G219">
        <v>39.866399999999999</v>
      </c>
      <c r="H219">
        <v>0.24827099999999999</v>
      </c>
      <c r="I219">
        <v>1</v>
      </c>
      <c r="J219">
        <v>1</v>
      </c>
      <c r="K219" s="7">
        <v>1</v>
      </c>
    </row>
    <row r="220" spans="1:11" x14ac:dyDescent="0.2">
      <c r="A220" s="5" t="s">
        <v>23</v>
      </c>
      <c r="B220">
        <v>969.16704400000003</v>
      </c>
      <c r="C220">
        <v>2.0723600000000002</v>
      </c>
      <c r="D220">
        <v>0.47027999999999998</v>
      </c>
      <c r="E220">
        <v>12.5</v>
      </c>
      <c r="F220" s="6">
        <f t="shared" si="1"/>
        <v>0.76431173453375778</v>
      </c>
      <c r="G220">
        <v>-80</v>
      </c>
      <c r="H220">
        <v>-1</v>
      </c>
      <c r="I220">
        <v>1</v>
      </c>
      <c r="J220">
        <v>1</v>
      </c>
      <c r="K220" s="7">
        <v>1</v>
      </c>
    </row>
    <row r="221" spans="1:11" x14ac:dyDescent="0.2">
      <c r="A221" s="5" t="s">
        <v>23</v>
      </c>
      <c r="B221">
        <v>969.16704400000003</v>
      </c>
      <c r="C221">
        <v>2.0723600000000002</v>
      </c>
      <c r="D221">
        <v>0.47027999999999998</v>
      </c>
      <c r="E221">
        <v>18.75</v>
      </c>
      <c r="F221" s="6">
        <f t="shared" si="1"/>
        <v>1.1464676018006366</v>
      </c>
      <c r="G221">
        <v>9.2170400000000008</v>
      </c>
      <c r="H221">
        <v>0.15687899999999999</v>
      </c>
      <c r="I221">
        <v>1</v>
      </c>
      <c r="J221">
        <v>1</v>
      </c>
      <c r="K221" s="7">
        <v>1</v>
      </c>
    </row>
    <row r="222" spans="1:11" x14ac:dyDescent="0.2">
      <c r="A222" s="8" t="s">
        <v>23</v>
      </c>
      <c r="B222" s="9">
        <v>969.16704400000003</v>
      </c>
      <c r="C222" s="9">
        <v>2.0723600000000002</v>
      </c>
      <c r="D222" s="9">
        <v>0.47027999999999998</v>
      </c>
      <c r="E222" s="9">
        <v>25</v>
      </c>
      <c r="F222" s="10">
        <f t="shared" si="1"/>
        <v>1.5286234690675156</v>
      </c>
      <c r="G222" s="9">
        <v>19.541699999999999</v>
      </c>
      <c r="H222" s="9">
        <v>0.376523</v>
      </c>
      <c r="I222" s="9">
        <v>1</v>
      </c>
      <c r="J222" s="9">
        <v>1</v>
      </c>
      <c r="K222" s="11">
        <v>1</v>
      </c>
    </row>
    <row r="223" spans="1:11" x14ac:dyDescent="0.2">
      <c r="A223" s="5" t="s">
        <v>24</v>
      </c>
      <c r="B223">
        <v>871.05396699999994</v>
      </c>
      <c r="C223">
        <v>2.7390000000000001E-2</v>
      </c>
      <c r="D223">
        <v>1</v>
      </c>
      <c r="E223">
        <v>0</v>
      </c>
      <c r="F223" s="6">
        <f t="shared" si="1"/>
        <v>0</v>
      </c>
      <c r="G223">
        <v>37.793999999999997</v>
      </c>
      <c r="H223">
        <v>0</v>
      </c>
      <c r="I223">
        <v>1</v>
      </c>
      <c r="J223">
        <v>1</v>
      </c>
      <c r="K223" s="7">
        <v>1</v>
      </c>
    </row>
    <row r="224" spans="1:11" x14ac:dyDescent="0.2">
      <c r="A224" s="5" t="s">
        <v>24</v>
      </c>
      <c r="B224">
        <v>871.05396699999994</v>
      </c>
      <c r="C224">
        <v>2.7390000000000001E-2</v>
      </c>
      <c r="D224">
        <v>1</v>
      </c>
      <c r="E224">
        <v>6.25</v>
      </c>
      <c r="F224" s="6">
        <f t="shared" si="1"/>
        <v>0.34346853440379704</v>
      </c>
      <c r="G224">
        <v>35.226500000000001</v>
      </c>
      <c r="H224">
        <v>0.19459000000000001</v>
      </c>
      <c r="I224">
        <v>1</v>
      </c>
      <c r="J224">
        <v>1</v>
      </c>
      <c r="K224" s="7">
        <v>1</v>
      </c>
    </row>
    <row r="225" spans="1:11" x14ac:dyDescent="0.2">
      <c r="A225" s="5" t="s">
        <v>24</v>
      </c>
      <c r="B225">
        <v>871.05396699999994</v>
      </c>
      <c r="C225">
        <v>2.7390000000000001E-2</v>
      </c>
      <c r="D225">
        <v>1</v>
      </c>
      <c r="E225">
        <v>0</v>
      </c>
      <c r="F225" s="6">
        <v>0.50225399999999998</v>
      </c>
      <c r="G225">
        <v>34.000500000000002</v>
      </c>
      <c r="H225">
        <v>0.259015</v>
      </c>
      <c r="I225">
        <v>1</v>
      </c>
      <c r="J225">
        <v>1</v>
      </c>
      <c r="K225" s="7">
        <v>1</v>
      </c>
    </row>
    <row r="226" spans="1:11" x14ac:dyDescent="0.2">
      <c r="A226" s="5" t="s">
        <v>24</v>
      </c>
      <c r="B226">
        <v>871.05396699999994</v>
      </c>
      <c r="C226">
        <v>2.7390000000000001E-2</v>
      </c>
      <c r="D226">
        <v>1</v>
      </c>
      <c r="E226">
        <v>12.5</v>
      </c>
      <c r="F226" s="6">
        <f t="shared" si="1"/>
        <v>0.68693706880759409</v>
      </c>
      <c r="G226">
        <v>31.956600000000002</v>
      </c>
      <c r="H226">
        <v>0.31249199999999999</v>
      </c>
      <c r="I226">
        <v>1</v>
      </c>
      <c r="J226">
        <v>1</v>
      </c>
      <c r="K226" s="7">
        <v>1</v>
      </c>
    </row>
    <row r="227" spans="1:11" x14ac:dyDescent="0.2">
      <c r="A227" s="5" t="s">
        <v>24</v>
      </c>
      <c r="B227">
        <v>871.05396699999994</v>
      </c>
      <c r="C227">
        <v>2.7390000000000001E-2</v>
      </c>
      <c r="D227">
        <v>1</v>
      </c>
      <c r="E227">
        <v>18.75</v>
      </c>
      <c r="F227" s="6">
        <f t="shared" si="1"/>
        <v>1.0304056032113911</v>
      </c>
      <c r="G227">
        <v>26.1204</v>
      </c>
      <c r="H227">
        <v>0.34801900000000002</v>
      </c>
      <c r="I227">
        <v>1</v>
      </c>
      <c r="J227">
        <v>1</v>
      </c>
      <c r="K227" s="7">
        <v>1</v>
      </c>
    </row>
    <row r="228" spans="1:11" x14ac:dyDescent="0.2">
      <c r="A228" s="5" t="s">
        <v>24</v>
      </c>
      <c r="B228">
        <v>871.05396699999994</v>
      </c>
      <c r="C228">
        <v>2.7390000000000001E-2</v>
      </c>
      <c r="D228">
        <v>1</v>
      </c>
      <c r="E228">
        <v>25</v>
      </c>
      <c r="F228" s="6">
        <f t="shared" si="1"/>
        <v>1.3738741376151882</v>
      </c>
      <c r="G228">
        <v>17.816700000000001</v>
      </c>
      <c r="H228">
        <v>0.29840299999999997</v>
      </c>
      <c r="I228">
        <v>1</v>
      </c>
      <c r="J228">
        <v>1</v>
      </c>
      <c r="K228" s="7">
        <v>1</v>
      </c>
    </row>
    <row r="229" spans="1:11" x14ac:dyDescent="0.2">
      <c r="A229" s="1" t="s">
        <v>25</v>
      </c>
      <c r="B229" s="2">
        <v>1015.241398</v>
      </c>
      <c r="C229" s="2">
        <v>1.489271</v>
      </c>
      <c r="D229" s="2">
        <v>0.97</v>
      </c>
      <c r="E229" s="2">
        <v>0</v>
      </c>
      <c r="F229" s="3">
        <f t="shared" si="1"/>
        <v>0</v>
      </c>
      <c r="G229" s="2">
        <v>78.879300000000001</v>
      </c>
      <c r="H229" s="2">
        <v>0</v>
      </c>
      <c r="I229" s="2">
        <v>1</v>
      </c>
      <c r="J229" s="2">
        <v>1</v>
      </c>
      <c r="K229" s="4">
        <v>1</v>
      </c>
    </row>
    <row r="230" spans="1:11" x14ac:dyDescent="0.2">
      <c r="A230" s="5" t="s">
        <v>25</v>
      </c>
      <c r="B230">
        <v>1015.241398</v>
      </c>
      <c r="C230">
        <v>1.489271</v>
      </c>
      <c r="D230">
        <v>0.97</v>
      </c>
      <c r="E230">
        <v>6.25</v>
      </c>
      <c r="F230" s="6">
        <f t="shared" si="1"/>
        <v>0.4003236174195875</v>
      </c>
      <c r="G230">
        <v>6.7272800000000004</v>
      </c>
      <c r="H230">
        <v>7.0000000000000001E-3</v>
      </c>
      <c r="I230">
        <v>1</v>
      </c>
      <c r="J230">
        <v>1</v>
      </c>
      <c r="K230" s="7">
        <v>1</v>
      </c>
    </row>
    <row r="231" spans="1:11" x14ac:dyDescent="0.2">
      <c r="A231" s="5" t="s">
        <v>25</v>
      </c>
      <c r="B231">
        <v>1015.241398</v>
      </c>
      <c r="C231">
        <v>1.489271</v>
      </c>
      <c r="D231">
        <v>0.97</v>
      </c>
      <c r="E231">
        <v>12.5</v>
      </c>
      <c r="F231" s="6">
        <f t="shared" si="1"/>
        <v>0.80064723483917499</v>
      </c>
      <c r="G231">
        <v>-21</v>
      </c>
      <c r="H231">
        <v>-0.04</v>
      </c>
      <c r="I231">
        <v>1</v>
      </c>
      <c r="J231">
        <v>1</v>
      </c>
      <c r="K231" s="7">
        <v>1</v>
      </c>
    </row>
    <row r="232" spans="1:11" x14ac:dyDescent="0.2">
      <c r="A232" s="5" t="s">
        <v>25</v>
      </c>
      <c r="B232">
        <v>1015.241398</v>
      </c>
      <c r="C232">
        <v>1.489271</v>
      </c>
      <c r="D232">
        <v>0.97</v>
      </c>
      <c r="E232">
        <v>18.75</v>
      </c>
      <c r="F232" s="6">
        <f t="shared" si="1"/>
        <v>1.2009708522587625</v>
      </c>
      <c r="G232">
        <v>-50</v>
      </c>
      <c r="H232">
        <v>-0.16</v>
      </c>
      <c r="I232">
        <v>1</v>
      </c>
      <c r="J232">
        <v>1</v>
      </c>
      <c r="K232" s="7">
        <v>1</v>
      </c>
    </row>
    <row r="233" spans="1:11" x14ac:dyDescent="0.2">
      <c r="A233" s="8" t="s">
        <v>25</v>
      </c>
      <c r="B233" s="9">
        <v>1015.241398</v>
      </c>
      <c r="C233" s="9">
        <v>1.489271</v>
      </c>
      <c r="D233" s="9">
        <v>0.97</v>
      </c>
      <c r="E233" s="9">
        <v>25</v>
      </c>
      <c r="F233" s="10">
        <f t="shared" si="1"/>
        <v>1.60129446967835</v>
      </c>
      <c r="G233" s="9">
        <v>-82.790300000000002</v>
      </c>
      <c r="H233" s="9">
        <v>-0.34</v>
      </c>
      <c r="I233" s="9">
        <v>1</v>
      </c>
      <c r="J233" s="9">
        <v>1</v>
      </c>
      <c r="K233" s="11">
        <v>1</v>
      </c>
    </row>
    <row r="234" spans="1:11" x14ac:dyDescent="0.2">
      <c r="A234" s="5" t="s">
        <v>26</v>
      </c>
      <c r="B234">
        <v>979.64239999999995</v>
      </c>
      <c r="C234">
        <v>0.382241</v>
      </c>
      <c r="D234">
        <v>0.84149499999999999</v>
      </c>
      <c r="E234">
        <v>0</v>
      </c>
      <c r="F234" s="6">
        <f t="shared" si="1"/>
        <v>0</v>
      </c>
      <c r="G234">
        <v>1939.2</v>
      </c>
      <c r="H234">
        <v>0</v>
      </c>
      <c r="I234">
        <v>1</v>
      </c>
      <c r="J234">
        <v>1</v>
      </c>
      <c r="K234" s="7">
        <v>1</v>
      </c>
    </row>
    <row r="235" spans="1:11" x14ac:dyDescent="0.2">
      <c r="A235" s="5" t="s">
        <v>26</v>
      </c>
      <c r="B235">
        <v>979.64239999999995</v>
      </c>
      <c r="C235">
        <v>0.382241</v>
      </c>
      <c r="D235">
        <v>0.84149499999999999</v>
      </c>
      <c r="E235">
        <v>0</v>
      </c>
      <c r="F235" s="6">
        <v>0.36094500000000002</v>
      </c>
      <c r="G235">
        <v>30.760200000000001</v>
      </c>
      <c r="H235">
        <v>0.13137299999999999</v>
      </c>
      <c r="I235">
        <v>1</v>
      </c>
      <c r="J235">
        <v>1</v>
      </c>
      <c r="K235" s="7">
        <v>1</v>
      </c>
    </row>
    <row r="236" spans="1:11" x14ac:dyDescent="0.2">
      <c r="A236" s="5" t="s">
        <v>26</v>
      </c>
      <c r="B236">
        <v>979.64239999999995</v>
      </c>
      <c r="C236">
        <v>0.382241</v>
      </c>
      <c r="D236">
        <v>0.84149499999999999</v>
      </c>
      <c r="E236">
        <v>6.25</v>
      </c>
      <c r="F236" s="6">
        <f t="shared" si="1"/>
        <v>0.38628644391193995</v>
      </c>
      <c r="G236">
        <v>30.878599999999999</v>
      </c>
      <c r="H236">
        <v>0.13875499999999999</v>
      </c>
      <c r="I236">
        <v>1</v>
      </c>
      <c r="J236">
        <v>1</v>
      </c>
      <c r="K236" s="7">
        <v>1</v>
      </c>
    </row>
    <row r="237" spans="1:11" x14ac:dyDescent="0.2">
      <c r="A237" s="5" t="s">
        <v>26</v>
      </c>
      <c r="B237">
        <v>979.64239999999995</v>
      </c>
      <c r="C237">
        <v>0.382241</v>
      </c>
      <c r="D237">
        <v>0.84149499999999999</v>
      </c>
      <c r="E237">
        <v>12.5</v>
      </c>
      <c r="F237" s="6">
        <f t="shared" si="1"/>
        <v>0.77257288782387989</v>
      </c>
      <c r="G237">
        <v>25.483799999999999</v>
      </c>
      <c r="H237">
        <v>0.20774000000000001</v>
      </c>
      <c r="I237">
        <v>1</v>
      </c>
      <c r="J237">
        <v>1</v>
      </c>
      <c r="K237" s="7">
        <v>1</v>
      </c>
    </row>
    <row r="238" spans="1:11" x14ac:dyDescent="0.2">
      <c r="A238" s="5" t="s">
        <v>26</v>
      </c>
      <c r="B238">
        <v>979.64239999999995</v>
      </c>
      <c r="C238">
        <v>0.382241</v>
      </c>
      <c r="D238">
        <v>0.84149499999999999</v>
      </c>
      <c r="E238">
        <v>18.75</v>
      </c>
      <c r="F238" s="6">
        <f t="shared" si="1"/>
        <v>1.1588593317358198</v>
      </c>
      <c r="G238">
        <v>18.253599999999999</v>
      </c>
      <c r="H238">
        <v>0.20596300000000001</v>
      </c>
      <c r="I238">
        <v>1</v>
      </c>
      <c r="J238">
        <v>1</v>
      </c>
      <c r="K238" s="7">
        <v>1</v>
      </c>
    </row>
    <row r="239" spans="1:11" x14ac:dyDescent="0.2">
      <c r="A239" s="5" t="s">
        <v>26</v>
      </c>
      <c r="B239">
        <v>979.64239999999995</v>
      </c>
      <c r="C239">
        <v>0.382241</v>
      </c>
      <c r="D239">
        <v>0.84149499999999999</v>
      </c>
      <c r="E239">
        <v>25</v>
      </c>
      <c r="F239" s="6">
        <f t="shared" si="1"/>
        <v>1.5451457756477598</v>
      </c>
      <c r="G239">
        <v>8.6398100000000007</v>
      </c>
      <c r="H239">
        <v>0.12179</v>
      </c>
      <c r="I239">
        <v>1</v>
      </c>
      <c r="J239">
        <v>1</v>
      </c>
      <c r="K239" s="7">
        <v>1</v>
      </c>
    </row>
    <row r="240" spans="1:11" x14ac:dyDescent="0.2">
      <c r="A240" s="1" t="s">
        <v>27</v>
      </c>
      <c r="B240" s="2">
        <v>1017.856719</v>
      </c>
      <c r="C240" s="2">
        <v>1.569445</v>
      </c>
      <c r="D240" s="2">
        <v>0.47286400000000001</v>
      </c>
      <c r="E240" s="2">
        <v>0</v>
      </c>
      <c r="F240" s="3">
        <f t="shared" si="1"/>
        <v>0</v>
      </c>
      <c r="G240" s="2">
        <v>13136.7</v>
      </c>
      <c r="H240" s="2">
        <v>0</v>
      </c>
      <c r="I240" s="2">
        <v>1</v>
      </c>
      <c r="J240" s="2">
        <v>1</v>
      </c>
      <c r="K240" s="4">
        <v>1</v>
      </c>
    </row>
    <row r="241" spans="1:11" x14ac:dyDescent="0.2">
      <c r="A241" s="5" t="s">
        <v>27</v>
      </c>
      <c r="B241">
        <v>1017.856719</v>
      </c>
      <c r="C241">
        <v>1.569445</v>
      </c>
      <c r="D241">
        <v>0.47286400000000001</v>
      </c>
      <c r="E241">
        <v>6.25</v>
      </c>
      <c r="F241" s="6">
        <f t="shared" si="1"/>
        <v>0.40135487438516831</v>
      </c>
      <c r="G241">
        <v>-3.47</v>
      </c>
      <c r="H241">
        <v>-0.02</v>
      </c>
      <c r="I241">
        <v>1</v>
      </c>
      <c r="J241">
        <v>1</v>
      </c>
      <c r="K241" s="7">
        <v>1</v>
      </c>
    </row>
    <row r="242" spans="1:11" x14ac:dyDescent="0.2">
      <c r="A242" s="5" t="s">
        <v>27</v>
      </c>
      <c r="B242">
        <v>1017.856719</v>
      </c>
      <c r="C242">
        <v>1.569445</v>
      </c>
      <c r="D242">
        <v>0.47286400000000001</v>
      </c>
      <c r="E242">
        <v>12.5</v>
      </c>
      <c r="F242" s="6">
        <f t="shared" si="1"/>
        <v>0.80270974877033663</v>
      </c>
      <c r="G242">
        <v>33.914999999999999</v>
      </c>
      <c r="H242">
        <v>0.381907</v>
      </c>
      <c r="I242">
        <v>1</v>
      </c>
      <c r="J242">
        <v>1</v>
      </c>
      <c r="K242" s="7">
        <v>1</v>
      </c>
    </row>
    <row r="243" spans="1:11" x14ac:dyDescent="0.2">
      <c r="A243" s="5" t="s">
        <v>27</v>
      </c>
      <c r="B243">
        <v>1017.856719</v>
      </c>
      <c r="C243">
        <v>1.569445</v>
      </c>
      <c r="D243">
        <v>0.47286400000000001</v>
      </c>
      <c r="E243">
        <v>18.75</v>
      </c>
      <c r="F243" s="6">
        <f t="shared" si="1"/>
        <v>1.204064623155505</v>
      </c>
      <c r="G243">
        <v>29.927499999999998</v>
      </c>
      <c r="H243">
        <v>0.45284099999999999</v>
      </c>
      <c r="I243">
        <v>1</v>
      </c>
      <c r="J243">
        <v>1</v>
      </c>
      <c r="K243" s="7">
        <v>1</v>
      </c>
    </row>
    <row r="244" spans="1:11" x14ac:dyDescent="0.2">
      <c r="A244" s="8" t="s">
        <v>27</v>
      </c>
      <c r="B244" s="9">
        <v>1017.856719</v>
      </c>
      <c r="C244" s="9">
        <v>1.569445</v>
      </c>
      <c r="D244" s="9">
        <v>0.47286400000000001</v>
      </c>
      <c r="E244" s="9">
        <v>25</v>
      </c>
      <c r="F244" s="10">
        <f t="shared" si="1"/>
        <v>1.6054194975406733</v>
      </c>
      <c r="G244" s="9">
        <v>23.480399999999999</v>
      </c>
      <c r="H244" s="9">
        <v>0.440807</v>
      </c>
      <c r="I244" s="9">
        <v>1</v>
      </c>
      <c r="J244" s="9">
        <v>1</v>
      </c>
      <c r="K244" s="11">
        <v>1</v>
      </c>
    </row>
    <row r="245" spans="1:11" x14ac:dyDescent="0.2">
      <c r="A245" s="5" t="s">
        <v>28</v>
      </c>
      <c r="B245">
        <v>778.351766</v>
      </c>
      <c r="C245">
        <v>1.1258000000000001E-2</v>
      </c>
      <c r="D245">
        <v>1</v>
      </c>
      <c r="E245">
        <v>0</v>
      </c>
      <c r="F245" s="6">
        <f t="shared" si="1"/>
        <v>0</v>
      </c>
      <c r="G245" s="12">
        <v>38.330100000000002</v>
      </c>
      <c r="H245">
        <v>0</v>
      </c>
      <c r="I245">
        <v>1</v>
      </c>
      <c r="J245">
        <v>1</v>
      </c>
      <c r="K245" s="7">
        <v>1</v>
      </c>
    </row>
    <row r="246" spans="1:11" x14ac:dyDescent="0.2">
      <c r="A246" s="5" t="s">
        <v>28</v>
      </c>
      <c r="B246">
        <v>778.351766</v>
      </c>
      <c r="C246">
        <v>1.1258000000000001E-2</v>
      </c>
      <c r="D246">
        <v>1</v>
      </c>
      <c r="E246">
        <v>6.25</v>
      </c>
      <c r="F246" s="6">
        <f>B246*0.000063090196*E246</f>
        <v>0.30691478421178831</v>
      </c>
      <c r="G246">
        <v>36.661299999999997</v>
      </c>
      <c r="H246">
        <v>0.21616199999999999</v>
      </c>
      <c r="I246">
        <v>1</v>
      </c>
      <c r="J246">
        <v>1</v>
      </c>
      <c r="K246" s="7">
        <v>1</v>
      </c>
    </row>
    <row r="247" spans="1:11" x14ac:dyDescent="0.2">
      <c r="A247" s="5" t="s">
        <v>28</v>
      </c>
      <c r="B247">
        <v>778.351766</v>
      </c>
      <c r="C247">
        <v>1.1258000000000001E-2</v>
      </c>
      <c r="D247">
        <v>1</v>
      </c>
      <c r="E247">
        <v>12.5</v>
      </c>
      <c r="F247" s="6">
        <f t="shared" si="1"/>
        <v>0.61382956842357661</v>
      </c>
      <c r="G247">
        <v>33.391199999999998</v>
      </c>
      <c r="H247">
        <v>0.34769099999999997</v>
      </c>
      <c r="I247">
        <v>1</v>
      </c>
      <c r="J247">
        <v>1</v>
      </c>
      <c r="K247" s="7">
        <v>1</v>
      </c>
    </row>
    <row r="248" spans="1:11" x14ac:dyDescent="0.2">
      <c r="A248" s="5" t="s">
        <v>28</v>
      </c>
      <c r="B248">
        <v>778.351766</v>
      </c>
      <c r="C248">
        <v>1.1258000000000001E-2</v>
      </c>
      <c r="D248">
        <v>1</v>
      </c>
      <c r="E248">
        <v>0</v>
      </c>
      <c r="F248" s="6">
        <v>0.67175499999999999</v>
      </c>
      <c r="G248">
        <v>32.652900000000002</v>
      </c>
      <c r="H248">
        <v>0.36423800000000001</v>
      </c>
      <c r="I248">
        <v>1</v>
      </c>
      <c r="J248">
        <v>1</v>
      </c>
      <c r="K248" s="7">
        <v>1</v>
      </c>
    </row>
    <row r="249" spans="1:11" x14ac:dyDescent="0.2">
      <c r="A249" s="5" t="s">
        <v>28</v>
      </c>
      <c r="B249">
        <v>778.351766</v>
      </c>
      <c r="C249">
        <v>1.1258000000000001E-2</v>
      </c>
      <c r="D249">
        <v>1</v>
      </c>
      <c r="E249">
        <v>18.75</v>
      </c>
      <c r="F249" s="6">
        <f t="shared" si="1"/>
        <v>0.92074435263536492</v>
      </c>
      <c r="G249">
        <v>28.545999999999999</v>
      </c>
      <c r="H249">
        <v>0.40414099999999997</v>
      </c>
      <c r="I249">
        <v>1</v>
      </c>
      <c r="J249">
        <v>1</v>
      </c>
      <c r="K249" s="7">
        <v>1</v>
      </c>
    </row>
    <row r="250" spans="1:11" x14ac:dyDescent="0.2">
      <c r="A250" s="5" t="s">
        <v>28</v>
      </c>
      <c r="B250">
        <v>778.351766</v>
      </c>
      <c r="C250">
        <v>1.1258000000000001E-2</v>
      </c>
      <c r="D250">
        <v>1</v>
      </c>
      <c r="E250">
        <v>25</v>
      </c>
      <c r="F250" s="6">
        <f t="shared" si="1"/>
        <v>1.2276591368471532</v>
      </c>
      <c r="G250">
        <v>21.1127</v>
      </c>
      <c r="H250">
        <v>0.375303</v>
      </c>
      <c r="I250">
        <v>1</v>
      </c>
      <c r="J250">
        <v>1</v>
      </c>
      <c r="K250" s="7">
        <v>1</v>
      </c>
    </row>
    <row r="251" spans="1:11" x14ac:dyDescent="0.2">
      <c r="A251" s="1" t="s">
        <v>29</v>
      </c>
      <c r="B251" s="2">
        <v>1010.927294</v>
      </c>
      <c r="C251" s="2">
        <v>0.98918600000000001</v>
      </c>
      <c r="D251" s="2">
        <v>0.97</v>
      </c>
      <c r="E251" s="2">
        <v>0</v>
      </c>
      <c r="F251" s="3">
        <f t="shared" si="1"/>
        <v>0</v>
      </c>
      <c r="G251" s="2">
        <v>4866.3999999999996</v>
      </c>
      <c r="H251" s="2">
        <v>0</v>
      </c>
      <c r="I251" s="2">
        <v>1</v>
      </c>
      <c r="J251" s="2">
        <v>1</v>
      </c>
      <c r="K251" s="4">
        <v>1</v>
      </c>
    </row>
    <row r="252" spans="1:11" x14ac:dyDescent="0.2">
      <c r="A252" s="5" t="s">
        <v>29</v>
      </c>
      <c r="B252">
        <v>1010.927294</v>
      </c>
      <c r="C252">
        <v>0.98918600000000001</v>
      </c>
      <c r="D252">
        <v>0.97</v>
      </c>
      <c r="E252">
        <v>6.25</v>
      </c>
      <c r="F252" s="6">
        <f t="shared" si="1"/>
        <v>0.39862250700131013</v>
      </c>
      <c r="G252">
        <v>13.750400000000001</v>
      </c>
      <c r="H252">
        <v>2.2185099999999999E-2</v>
      </c>
      <c r="I252">
        <v>1</v>
      </c>
      <c r="J252">
        <v>1</v>
      </c>
      <c r="K252" s="7">
        <v>1</v>
      </c>
    </row>
    <row r="253" spans="1:11" x14ac:dyDescent="0.2">
      <c r="A253" s="5" t="s">
        <v>29</v>
      </c>
      <c r="B253">
        <v>1010.927294</v>
      </c>
      <c r="C253">
        <v>0.98918600000000001</v>
      </c>
      <c r="D253">
        <v>0.97</v>
      </c>
      <c r="E253">
        <v>12.5</v>
      </c>
      <c r="F253" s="6">
        <f t="shared" si="1"/>
        <v>0.79724501400262027</v>
      </c>
      <c r="G253">
        <v>-5</v>
      </c>
      <c r="H253">
        <v>-0.01</v>
      </c>
      <c r="I253">
        <v>1</v>
      </c>
      <c r="J253">
        <v>1</v>
      </c>
      <c r="K253" s="7">
        <v>1</v>
      </c>
    </row>
    <row r="254" spans="1:11" x14ac:dyDescent="0.2">
      <c r="A254" s="5" t="s">
        <v>29</v>
      </c>
      <c r="B254">
        <v>1010.927294</v>
      </c>
      <c r="C254">
        <v>0.98918600000000001</v>
      </c>
      <c r="D254">
        <v>0.97</v>
      </c>
      <c r="E254">
        <v>18.75</v>
      </c>
      <c r="F254" s="6">
        <f t="shared" si="1"/>
        <v>1.1958675210039305</v>
      </c>
      <c r="G254">
        <v>-26</v>
      </c>
      <c r="H254">
        <v>-0.11</v>
      </c>
      <c r="I254">
        <v>1</v>
      </c>
      <c r="J254">
        <v>1</v>
      </c>
      <c r="K254" s="7">
        <v>1</v>
      </c>
    </row>
    <row r="255" spans="1:11" x14ac:dyDescent="0.2">
      <c r="A255" s="8" t="s">
        <v>29</v>
      </c>
      <c r="B255" s="9">
        <v>1010.927294</v>
      </c>
      <c r="C255" s="9">
        <v>0.98918600000000001</v>
      </c>
      <c r="D255" s="9">
        <v>0.97</v>
      </c>
      <c r="E255" s="9">
        <v>25</v>
      </c>
      <c r="F255" s="10">
        <f t="shared" si="1"/>
        <v>1.5944900280052405</v>
      </c>
      <c r="G255" s="9">
        <v>-50</v>
      </c>
      <c r="H255" s="9">
        <v>-0.28000000000000003</v>
      </c>
      <c r="I255" s="9">
        <v>1</v>
      </c>
      <c r="J255" s="9">
        <v>1</v>
      </c>
      <c r="K255" s="11">
        <v>1</v>
      </c>
    </row>
    <row r="256" spans="1:11" x14ac:dyDescent="0.2">
      <c r="A256" s="5" t="s">
        <v>30</v>
      </c>
      <c r="B256">
        <v>824.97739200000001</v>
      </c>
      <c r="C256">
        <v>3.6327999999999999E-2</v>
      </c>
      <c r="D256">
        <v>1</v>
      </c>
      <c r="E256">
        <v>0</v>
      </c>
      <c r="F256" s="6">
        <f t="shared" si="1"/>
        <v>0</v>
      </c>
      <c r="G256">
        <v>37.1038</v>
      </c>
      <c r="H256">
        <v>0</v>
      </c>
      <c r="I256">
        <v>1</v>
      </c>
      <c r="J256">
        <v>1</v>
      </c>
      <c r="K256" s="7">
        <v>1</v>
      </c>
    </row>
    <row r="257" spans="1:11" x14ac:dyDescent="0.2">
      <c r="A257" s="5" t="s">
        <v>30</v>
      </c>
      <c r="B257">
        <v>824.97739200000001</v>
      </c>
      <c r="C257">
        <v>3.6327999999999999E-2</v>
      </c>
      <c r="D257">
        <v>1</v>
      </c>
      <c r="E257">
        <v>6.25</v>
      </c>
      <c r="F257" s="6">
        <f t="shared" si="1"/>
        <v>0.32529990848030521</v>
      </c>
      <c r="G257">
        <v>34.075200000000002</v>
      </c>
      <c r="H257">
        <v>0.18096699999999999</v>
      </c>
      <c r="I257">
        <v>1</v>
      </c>
      <c r="J257">
        <v>1</v>
      </c>
      <c r="K257" s="7">
        <v>1</v>
      </c>
    </row>
    <row r="258" spans="1:11" x14ac:dyDescent="0.2">
      <c r="A258" s="5" t="s">
        <v>30</v>
      </c>
      <c r="B258">
        <v>824.97739200000001</v>
      </c>
      <c r="C258">
        <v>3.6327999999999999E-2</v>
      </c>
      <c r="D258">
        <v>1</v>
      </c>
      <c r="E258">
        <v>0</v>
      </c>
      <c r="F258" s="6">
        <v>0.364205</v>
      </c>
      <c r="G258">
        <v>33.938000000000002</v>
      </c>
      <c r="H258">
        <v>0.19803599999999999</v>
      </c>
      <c r="I258">
        <v>1</v>
      </c>
      <c r="J258">
        <v>1</v>
      </c>
      <c r="K258" s="7">
        <v>1</v>
      </c>
    </row>
    <row r="259" spans="1:11" x14ac:dyDescent="0.2">
      <c r="A259" s="5" t="s">
        <v>30</v>
      </c>
      <c r="B259">
        <v>824.97739200000001</v>
      </c>
      <c r="C259">
        <v>3.6327999999999999E-2</v>
      </c>
      <c r="D259">
        <v>1</v>
      </c>
      <c r="E259">
        <v>12.5</v>
      </c>
      <c r="F259" s="6">
        <f t="shared" si="1"/>
        <v>0.65059981696061042</v>
      </c>
      <c r="G259">
        <v>30.591999999999999</v>
      </c>
      <c r="H259">
        <v>0.28768100000000002</v>
      </c>
      <c r="I259">
        <v>1</v>
      </c>
      <c r="J259">
        <v>1</v>
      </c>
      <c r="K259" s="7">
        <v>1</v>
      </c>
    </row>
    <row r="260" spans="1:11" x14ac:dyDescent="0.2">
      <c r="A260" s="5" t="s">
        <v>30</v>
      </c>
      <c r="B260">
        <v>824.97739200000001</v>
      </c>
      <c r="C260">
        <v>3.6327999999999999E-2</v>
      </c>
      <c r="D260">
        <v>1</v>
      </c>
      <c r="E260">
        <v>18.75</v>
      </c>
      <c r="F260" s="6">
        <f t="shared" ref="F260:F261" si="2">B260*0.000063090196*E260</f>
        <v>0.97589972544091563</v>
      </c>
      <c r="G260">
        <v>24.365300000000001</v>
      </c>
      <c r="H260">
        <v>0.31174499999999999</v>
      </c>
      <c r="I260">
        <v>1</v>
      </c>
      <c r="J260">
        <v>1</v>
      </c>
      <c r="K260" s="7">
        <v>1</v>
      </c>
    </row>
    <row r="261" spans="1:11" x14ac:dyDescent="0.2">
      <c r="A261" s="8" t="s">
        <v>30</v>
      </c>
      <c r="B261" s="9">
        <v>824.97739200000001</v>
      </c>
      <c r="C261" s="9">
        <v>3.6327999999999999E-2</v>
      </c>
      <c r="D261" s="9">
        <v>1</v>
      </c>
      <c r="E261" s="9">
        <v>25</v>
      </c>
      <c r="F261" s="10">
        <f t="shared" si="2"/>
        <v>1.3011996339212208</v>
      </c>
      <c r="G261" s="9">
        <v>15.739599999999999</v>
      </c>
      <c r="H261" s="9">
        <v>0.25368200000000002</v>
      </c>
      <c r="I261" s="9">
        <v>1</v>
      </c>
      <c r="J261" s="9">
        <v>1</v>
      </c>
      <c r="K261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gp_variational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Morantes Morales</dc:creator>
  <cp:lastModifiedBy>Daniel Felipe Morantes Morales</cp:lastModifiedBy>
  <dcterms:created xsi:type="dcterms:W3CDTF">2026-03-20T23:39:06Z</dcterms:created>
  <dcterms:modified xsi:type="dcterms:W3CDTF">2026-03-21T01:46:37Z</dcterms:modified>
</cp:coreProperties>
</file>